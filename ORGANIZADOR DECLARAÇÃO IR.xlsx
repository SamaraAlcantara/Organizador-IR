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Arquivos_Sistema\Downloads\ORGANIZADOR IR\Organizador-IR\"/>
    </mc:Choice>
  </mc:AlternateContent>
  <xr:revisionPtr revIDLastSave="0" documentId="13_ncr:1_{9CCC3980-89FA-4D57-BB7B-9354662127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ULAR" sheetId="1" r:id="rId1"/>
    <sheet name="INFORMES" sheetId="7" r:id="rId2"/>
    <sheet name="NOTAS" sheetId="8" r:id="rId3"/>
    <sheet name="BENS E DIREITOS" sheetId="11" r:id="rId4"/>
    <sheet name="TABELAS" sheetId="9" r:id="rId5"/>
  </sheets>
  <calcPr calcId="191029"/>
</workbook>
</file>

<file path=xl/calcChain.xml><?xml version="1.0" encoding="utf-8"?>
<calcChain xmlns="http://schemas.openxmlformats.org/spreadsheetml/2006/main">
  <c r="I7" i="11" l="1"/>
  <c r="H7" i="11"/>
  <c r="D5" i="7"/>
</calcChain>
</file>

<file path=xl/sharedStrings.xml><?xml version="1.0" encoding="utf-8"?>
<sst xmlns="http://schemas.openxmlformats.org/spreadsheetml/2006/main" count="236" uniqueCount="185">
  <si>
    <t>1. DADOS DO TÍTULAR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</si>
  <si>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</si>
  <si>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</si>
  <si>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</si>
  <si>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</si>
  <si>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</si>
  <si>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</si>
  <si>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</si>
  <si>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</si>
  <si>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</si>
  <si>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</si>
  <si>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</si>
  <si>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</si>
  <si>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</si>
  <si>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</si>
  <si>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PRÓXIMO➡️</t>
  </si>
  <si>
    <t>SIM</t>
  </si>
  <si>
    <t>NÃO</t>
  </si>
  <si>
    <t>aaaaa@gmail.com</t>
  </si>
  <si>
    <t>Preencha os dados atuais de cada banco</t>
  </si>
  <si>
    <t>Preencha os dados da tabela abaixo</t>
  </si>
  <si>
    <t>BANCO</t>
  </si>
  <si>
    <t>VALOR ATUAL</t>
  </si>
  <si>
    <t>ANEXO🖇️</t>
  </si>
  <si>
    <t>001 - Banco do Brasil S.A.</t>
  </si>
  <si>
    <t>033 - Banco Santander (Brasil) S.A.</t>
  </si>
  <si>
    <t>077 - Banco Inter S.A.</t>
  </si>
  <si>
    <t>104 - Caixa Econômica Federal</t>
  </si>
  <si>
    <t>208 - Banco BTG Pactual S.A.</t>
  </si>
  <si>
    <t>237 - Banco Bradesco S.A.</t>
  </si>
  <si>
    <t>246 - Banco ABC Brasil S.A.</t>
  </si>
  <si>
    <t>260 - Nu Pagamentos S.A. (Nubank)</t>
  </si>
  <si>
    <t>318 - Banco BMG S.A.</t>
  </si>
  <si>
    <t>336 - Banco C6 S.A. (C6 Bank)</t>
  </si>
  <si>
    <t>341 - Banco Itaú Unibanco S.A.</t>
  </si>
  <si>
    <t>389 - Banco Mercantil do Brasil S.A.</t>
  </si>
  <si>
    <t>422 - Banco Safra S.A.</t>
  </si>
  <si>
    <t>623 - Banco Pan S.A.</t>
  </si>
  <si>
    <t>070 - Banco de Brasília S.A. (BRB)</t>
  </si>
  <si>
    <t>INSTITUIÇÕES FINANCEIRAS</t>
  </si>
  <si>
    <t>003 - Banco da Amazônia S.A.</t>
  </si>
  <si>
    <t>004 - Banco do Nordeste do Brasil S.A.</t>
  </si>
  <si>
    <t>007 - Banco Nacional de Desenvolvimento Econômico e Social (BNDES)</t>
  </si>
  <si>
    <t>021 - Banestes S.A. – Banco do Estado do Espírito Santo</t>
  </si>
  <si>
    <t>025 - Banco Alfa S.A.</t>
  </si>
  <si>
    <t>041 - Banco do Estado do Rio Grande do Sul S.A. (Banrisul)</t>
  </si>
  <si>
    <t>047 - Banco do Estado de Sergipe S.A. (Banese)</t>
  </si>
  <si>
    <t>082 - Banco Topázio S.A.</t>
  </si>
  <si>
    <t>121 - Banco Agibank S.A.</t>
  </si>
  <si>
    <t>133 - Cresol Confederação</t>
  </si>
  <si>
    <t>197 - Stone Pagamentos S.A.</t>
  </si>
  <si>
    <t>212 - Banco Original S.A.</t>
  </si>
  <si>
    <t>218 - Banco BS2 S.A.</t>
  </si>
  <si>
    <t>265 - Banco Fator S.A.</t>
  </si>
  <si>
    <t>290 - PagSeguro Internet S.A.</t>
  </si>
  <si>
    <t>323 - Mercado Pago – Conta do Mercado Livre</t>
  </si>
  <si>
    <t>364 - Gerencianet Pagamentos do Brasil</t>
  </si>
  <si>
    <t>380 - PicPay Serviços S.A.</t>
  </si>
  <si>
    <t>399 - Kirton Bank S.A. (antigo HSBC Brasil)</t>
  </si>
  <si>
    <t>456 - Banco MUFG Brasil S.A.</t>
  </si>
  <si>
    <t>464 - Banco Sumitomo Mitsui Brasileiro S.A.</t>
  </si>
  <si>
    <t>473 - Banco Caixa Geral – Brasil S.A.</t>
  </si>
  <si>
    <t>479 - Banco ItauBank S.A.</t>
  </si>
  <si>
    <t>633 - Banco Rendimento S.A.</t>
  </si>
  <si>
    <t>637 - Banco Sofisa S.A.</t>
  </si>
  <si>
    <t>654 - Banco Digimais S.A.</t>
  </si>
  <si>
    <t>655 - Banco Votorantim S.A.</t>
  </si>
  <si>
    <t>707 - Banco Daycoval S.A.</t>
  </si>
  <si>
    <t>735 - Banco Neon S.A.</t>
  </si>
  <si>
    <t>739 - Banco Cetelem S.A.</t>
  </si>
  <si>
    <t>745 - Banco Citibank S.A.</t>
  </si>
  <si>
    <t>746 - Banco Modal S.A.</t>
  </si>
  <si>
    <t>756 - Banco Cooperativo do Brasil S.A. (Bancoob / Sicoob)</t>
  </si>
  <si>
    <t>1° BANCO</t>
  </si>
  <si>
    <t>2° BANCO</t>
  </si>
  <si>
    <t>3° BANCO</t>
  </si>
  <si>
    <t>4° BANCO</t>
  </si>
  <si>
    <t>TOTAL</t>
  </si>
  <si>
    <t>ANTERIOR ⬅️</t>
  </si>
  <si>
    <t>PRÓXIMO ➡️</t>
  </si>
  <si>
    <t>2. INFORMES DE RENDIMENTOS BANCÁRIOS</t>
  </si>
  <si>
    <t>DATA</t>
  </si>
  <si>
    <t>CATEGORIA</t>
  </si>
  <si>
    <t>VALOR</t>
  </si>
  <si>
    <t>ENTRADAS</t>
  </si>
  <si>
    <t>São todos os valores de entrada de receita mês a mês</t>
  </si>
  <si>
    <t>3. NOTAS BANCÁRIAS OU EXTRATO DE HOLHERITES</t>
  </si>
  <si>
    <t>HOLHERITE</t>
  </si>
  <si>
    <t>SAÍDAS</t>
  </si>
  <si>
    <t>4. NOTAS E DESPESAS DEDUTÍVEIS</t>
  </si>
  <si>
    <t>DESPESAS DEDUTÍVEIS</t>
  </si>
  <si>
    <t>Exames laboratoriais e de imagem</t>
  </si>
  <si>
    <t>Cirurgias</t>
  </si>
  <si>
    <t>Internações hospitalares</t>
  </si>
  <si>
    <t>Consultas médicas</t>
  </si>
  <si>
    <t>Consultas odontológicas</t>
  </si>
  <si>
    <t>Consultas psicológicas, psiquiátricas e terapêuticas</t>
  </si>
  <si>
    <t>Mensalidades de plano de saúde</t>
  </si>
  <si>
    <t>Coparticipações de plano de saúde</t>
  </si>
  <si>
    <t>Próteses e aparelhos ortopédicos ou dentários vinculados a procedimentos médicos</t>
  </si>
  <si>
    <t>Educação infantil (creche e pré-escola)</t>
  </si>
  <si>
    <t>Ensino fundamental</t>
  </si>
  <si>
    <t>Ensino médio</t>
  </si>
  <si>
    <t>Ensino técnico</t>
  </si>
  <si>
    <t>Ensino superior (graduação)</t>
  </si>
  <si>
    <t>Pós-graduação (especialização, mestrado e doutorado)</t>
  </si>
  <si>
    <t>Dedução anual por dependente</t>
  </si>
  <si>
    <t>Despesas médicas de dependentes</t>
  </si>
  <si>
    <t>Despesas educacionais de dependentes</t>
  </si>
  <si>
    <t>Pensão alimentícia determinada por decisão judicial ou escritura pública</t>
  </si>
  <si>
    <t>Despesas obrigatórias previstas na pensão alimentícia (escola e plano de saúde)</t>
  </si>
  <si>
    <t>Contribuições à Previdência Social – INSS</t>
  </si>
  <si>
    <t>Contribuições à previdência privada do tipo PGBL (limitadas a 12% da renda tributável anual)</t>
  </si>
  <si>
    <t>Doações aos Fundos dos Direitos da Criança e do Adolescente</t>
  </si>
  <si>
    <t>Doações aos Fundos dos Direitos do Idoso</t>
  </si>
  <si>
    <t>Doações a projetos culturais (Lei Rouanet)</t>
  </si>
  <si>
    <t>Doações a projetos audiovisuais</t>
  </si>
  <si>
    <t>Doações a projetos esportivos</t>
  </si>
  <si>
    <t>Doações aos programas PRONON</t>
  </si>
  <si>
    <t>Doações aos programas PRONAS/PCD</t>
  </si>
  <si>
    <t>Contribuição patronal ao INSS de empregado doméstico</t>
  </si>
  <si>
    <t>Honorários advocatícios relacionados a ações trabalhistas</t>
  </si>
  <si>
    <t>Honorários advocatícios relacionados a ações previdenciárias</t>
  </si>
  <si>
    <t>Honorários advocatícios vinculados ao recebimento de rendimentos tributáveis</t>
  </si>
  <si>
    <t>São todos os valores de despesas dedutíveis</t>
  </si>
  <si>
    <t>5. BENS E DIREITOS</t>
  </si>
  <si>
    <t>CÓDIGO</t>
  </si>
  <si>
    <t>VALOR DATA INICIAL</t>
  </si>
  <si>
    <t>VALOR DATA FINAL</t>
  </si>
  <si>
    <t>BENS E DIREITOS</t>
  </si>
  <si>
    <t>Código 11 – Apartamento</t>
  </si>
  <si>
    <t>Código 12 – Casa</t>
  </si>
  <si>
    <t>Código 13 – Terreno</t>
  </si>
  <si>
    <t>Código 15 – Sala ou conjunto comercial</t>
  </si>
  <si>
    <t>Código 16 – Construção</t>
  </si>
  <si>
    <t>Código 17 – Benfeitorias</t>
  </si>
  <si>
    <t>Código 18 – Outros bens imóveis</t>
  </si>
  <si>
    <t>GRUPO 01 - Bens Imóveis</t>
  </si>
  <si>
    <t>GRUPO 02 – Bens Móveis</t>
  </si>
  <si>
    <t>Código 01 – Veículo automotor terrestre</t>
  </si>
  <si>
    <t>Código 02 – Aeronave</t>
  </si>
  <si>
    <t>Código 03 – Embarcação</t>
  </si>
  <si>
    <t>Código 99 – Outros bens móveis</t>
  </si>
  <si>
    <t>GRUPO 01 – Bens Imóveis</t>
  </si>
  <si>
    <t>GRUPO 03 – Participações Societárias</t>
  </si>
  <si>
    <t>Código 01 – Ações (inclusive as negociadas em bolsa)</t>
  </si>
  <si>
    <t>Código 02 – Quotas ou quinhões de capital</t>
  </si>
  <si>
    <t>Código 03 – Outros investimentos societários</t>
  </si>
  <si>
    <t>GRUPO 04 – Aplicações e Investimentos</t>
  </si>
  <si>
    <t>Código 01 – Caderneta de poupança</t>
  </si>
  <si>
    <t>Código 02 – CDB, RDB e outros títulos bancários</t>
  </si>
  <si>
    <t>Código 03 – Tesouro Direto</t>
  </si>
  <si>
    <t>Código 04 – Fundos de investimento</t>
  </si>
  <si>
    <t>Código 05 – Letras de crédito (LCI e LCA)</t>
  </si>
  <si>
    <t>Código 06 – Certificados de recebíveis (CRI e CRA)</t>
  </si>
  <si>
    <t>Código 99 – Outros investimentos</t>
  </si>
  <si>
    <t>GRUPO 05 – Créditos</t>
  </si>
  <si>
    <t>Código 01 – Crédito decorrente de empréstimo</t>
  </si>
  <si>
    <t>Código 02 – Crédito decorrente de venda a prazo</t>
  </si>
  <si>
    <t>Código 99 – Outros créditos</t>
  </si>
  <si>
    <t>GRUPO 06 – Depósitos à Vista e Numerário</t>
  </si>
  <si>
    <t>Código 01 – Dinheiro em espécie</t>
  </si>
  <si>
    <t>Código 02 – Conta corrente</t>
  </si>
  <si>
    <t>Código 03 – Conta pagamento (fintechs e bancos digitais)</t>
  </si>
  <si>
    <t>GRUPO 07 – Fundos</t>
  </si>
  <si>
    <t>Código 01 – Fundos de investimento imobiliário (FII)</t>
  </si>
  <si>
    <t>Código 02 – Fundos de ações</t>
  </si>
  <si>
    <t>Código 03 – Fundos multimercado</t>
  </si>
  <si>
    <t>Código 99 – Outros fundos</t>
  </si>
  <si>
    <t>GRUPO 08 – Criptoativos</t>
  </si>
  <si>
    <t>Código 01 – Bitcoin (BTC)</t>
  </si>
  <si>
    <t>Código 02 – Outras criptomoedas</t>
  </si>
  <si>
    <t>Código 03 – Tokens</t>
  </si>
  <si>
    <t>Código 10 – NFTs</t>
  </si>
  <si>
    <t>GRUPO 09 – Outros Bens e Direitos</t>
  </si>
  <si>
    <t>Código 01 – Consórcio não contemplado</t>
  </si>
  <si>
    <t>Código 02 – Consórcio contemplado</t>
  </si>
  <si>
    <t>Código 03 – Direitos autorais</t>
  </si>
  <si>
    <t>Código 04 – Patentes e marcas</t>
  </si>
  <si>
    <t>Código 99 – Outros bens e direitos</t>
  </si>
  <si>
    <t>DESCRIÇÃO</t>
  </si>
  <si>
    <t>GRUPO 02 - Bens Móveis</t>
  </si>
  <si>
    <t>TOTAL DATA INICIAL</t>
  </si>
  <si>
    <t>TOTAL DATA FINAL</t>
  </si>
  <si>
    <t>São todos os valores referentes a bens e direitos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</si>
</sst>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&quot;(&quot;00&quot;)&quot;00000&quot;-&quot;0000"/>
    <numFmt numFmtId="166" formatCode="&quot;(&quot;00&quot;)&quot;0000&quot;-&quot;0000"/>
    <numFmt numFmtId="167" formatCode="00&quot;/&quot;00&quot;/&quot;0000"/>
    <numFmt numFmtId="168" formatCode="00000\-000"/>
    <numFmt numFmtId="169" formatCode="[$R$-416]\ #,##0.00;\-[$R$-416]\ #,##0.00"/>
    <numFmt numFmtId="171" formatCode="&quot;R$&quot;\ #,##0.00"/>
    <numFmt numFmtId="172" formatCode="mmmm\-yyyy"/>
  </numFmts>
  <fonts count="15" x14ac:knownFonts="1">
    <font>
      <sz val="10"/>
      <color rgb="FF000000"/>
      <name val="Arial"/>
      <scheme val="minor"/>
    </font>
    <font>
      <b/>
      <sz val="10"/>
      <color rgb="FF4C1130"/>
      <name val="Arial"/>
      <scheme val="minor"/>
    </font>
    <font>
      <sz val="10"/>
      <color rgb="FFEAD1DC"/>
      <name val="Arial"/>
      <scheme val="minor"/>
    </font>
    <font>
      <sz val="10"/>
      <color theme="1"/>
      <name val="Arial"/>
      <scheme val="minor"/>
    </font>
    <font>
      <sz val="10"/>
      <color rgb="FFEAD1DC"/>
      <name val="Arial"/>
      <family val="2"/>
      <scheme val="minor"/>
    </font>
    <font>
      <sz val="10"/>
      <color rgb="FF7030A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0"/>
      <name val="Arial"/>
      <family val="2"/>
      <scheme val="minor"/>
    </font>
    <font>
      <u/>
      <sz val="10"/>
      <color theme="0"/>
      <name val="Arial"/>
      <family val="2"/>
      <scheme val="minor"/>
    </font>
    <font>
      <b/>
      <sz val="10"/>
      <color rgb="FF4C113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color rgb="FF000000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175E8"/>
        <bgColor rgb="FFD175E8"/>
      </patternFill>
    </fill>
    <fill>
      <patternFill patternType="solid">
        <fgColor rgb="FFFFE599"/>
        <bgColor rgb="FFFFE599"/>
      </patternFill>
    </fill>
    <fill>
      <patternFill patternType="solid">
        <fgColor rgb="FF741B47"/>
        <bgColor rgb="FF741B47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CC5ED"/>
        <bgColor indexed="64"/>
      </patternFill>
    </fill>
    <fill>
      <patternFill patternType="solid">
        <fgColor rgb="FFDCC5ED"/>
        <bgColor rgb="FFFFE599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rgb="FF7030A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3" fillId="3" borderId="6" xfId="0" applyFont="1" applyFill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5" fillId="3" borderId="8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164" fontId="5" fillId="3" borderId="10" xfId="0" applyNumberFormat="1" applyFont="1" applyFill="1" applyBorder="1" applyAlignment="1">
      <alignment horizontal="left"/>
    </xf>
    <xf numFmtId="165" fontId="5" fillId="3" borderId="10" xfId="0" applyNumberFormat="1" applyFont="1" applyFill="1" applyBorder="1" applyAlignment="1">
      <alignment horizontal="left"/>
    </xf>
    <xf numFmtId="166" fontId="5" fillId="3" borderId="10" xfId="0" applyNumberFormat="1" applyFont="1" applyFill="1" applyBorder="1" applyAlignment="1">
      <alignment horizontal="left"/>
    </xf>
    <xf numFmtId="167" fontId="5" fillId="3" borderId="10" xfId="0" applyNumberFormat="1" applyFont="1" applyFill="1" applyBorder="1" applyAlignment="1">
      <alignment horizontal="left"/>
    </xf>
    <xf numFmtId="168" fontId="5" fillId="3" borderId="10" xfId="0" applyNumberFormat="1" applyFont="1" applyFill="1" applyBorder="1" applyAlignment="1">
      <alignment horizontal="left"/>
    </xf>
    <xf numFmtId="0" fontId="6" fillId="3" borderId="10" xfId="1" applyFill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169" fontId="3" fillId="3" borderId="4" xfId="0" applyNumberFormat="1" applyFont="1" applyFill="1" applyBorder="1" applyAlignment="1">
      <alignment horizontal="left"/>
    </xf>
    <xf numFmtId="0" fontId="8" fillId="0" borderId="0" xfId="0" applyFont="1"/>
    <xf numFmtId="0" fontId="9" fillId="5" borderId="0" xfId="0" applyFont="1" applyFill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9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right"/>
    </xf>
    <xf numFmtId="0" fontId="10" fillId="4" borderId="0" xfId="1" applyFont="1" applyFill="1" applyAlignment="1">
      <alignment horizontal="center"/>
    </xf>
    <xf numFmtId="0" fontId="11" fillId="0" borderId="0" xfId="0" applyFont="1"/>
    <xf numFmtId="0" fontId="13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4" fillId="2" borderId="13" xfId="0" applyFont="1" applyFill="1" applyBorder="1"/>
    <xf numFmtId="0" fontId="0" fillId="0" borderId="13" xfId="0" applyBorder="1"/>
    <xf numFmtId="0" fontId="4" fillId="2" borderId="0" xfId="0" applyFont="1" applyFill="1"/>
    <xf numFmtId="0" fontId="0" fillId="0" borderId="0" xfId="0"/>
    <xf numFmtId="0" fontId="2" fillId="2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71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4" fontId="0" fillId="0" borderId="0" xfId="2" applyFont="1" applyAlignment="1">
      <alignment horizontal="center"/>
    </xf>
    <xf numFmtId="44" fontId="7" fillId="0" borderId="0" xfId="2" applyFont="1" applyAlignment="1">
      <alignment horizontal="center"/>
    </xf>
    <xf numFmtId="0" fontId="12" fillId="10" borderId="0" xfId="0" applyFont="1" applyFill="1"/>
    <xf numFmtId="0" fontId="13" fillId="9" borderId="14" xfId="0" applyFont="1" applyFill="1" applyBorder="1" applyAlignment="1">
      <alignment horizontal="center"/>
    </xf>
    <xf numFmtId="44" fontId="0" fillId="11" borderId="0" xfId="0" applyNumberFormat="1" applyFill="1"/>
  </cellXfs>
  <cellStyles count="3">
    <cellStyle name="Hiperlink" xfId="1" builtinId="8"/>
    <cellStyle name="Moeda" xfId="2" builtinId="4"/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1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1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CC5ED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'BENS E DIREITOS'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ara-alcantara-469929196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'BENS E DIREITOS'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ara-alcantara-469929196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'BENS E DIREITOS'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ara-alcantara-469929196/" TargetMode="External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samara-alcantara-469929196/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82962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</xdr:pic>
    <xdr:clientData fLocksWithSheet="0"/>
  </xdr:oneCellAnchor>
  <xdr:twoCellAnchor editAs="absolute">
    <xdr:from>
      <xdr:col>0</xdr:col>
      <xdr:colOff>876300</xdr:colOff>
      <xdr:row>28</xdr:row>
      <xdr:rowOff>19050</xdr:rowOff>
    </xdr:from>
    <xdr:to>
      <xdr:col>0</xdr:col>
      <xdr:colOff>2886075</xdr:colOff>
      <xdr:row>29</xdr:row>
      <xdr:rowOff>171450</xdr:rowOff>
    </xdr:to>
    <xdr:sp macro="" textlink="">
      <xdr:nvSpPr>
        <xdr:cNvPr id="4" name="CaixaDeText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32E46C-B0D4-87D4-8FCF-5E80BFBD303A}"/>
            </a:ext>
          </a:extLst>
        </xdr:cNvPr>
        <xdr:cNvSpPr txBox="1"/>
      </xdr:nvSpPr>
      <xdr:spPr>
        <a:xfrm>
          <a:off x="876300" y="5619750"/>
          <a:ext cx="200977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866775</xdr:colOff>
      <xdr:row>31</xdr:row>
      <xdr:rowOff>38100</xdr:rowOff>
    </xdr:from>
    <xdr:to>
      <xdr:col>0</xdr:col>
      <xdr:colOff>2876550</xdr:colOff>
      <xdr:row>32</xdr:row>
      <xdr:rowOff>190500</xdr:rowOff>
    </xdr:to>
    <xdr:sp macro="" textlink="">
      <xdr:nvSpPr>
        <xdr:cNvPr id="5" name="CaixaDeText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459BF6-E444-4DC0-B43F-D4BBEAF97FB6}"/>
            </a:ext>
          </a:extLst>
        </xdr:cNvPr>
        <xdr:cNvSpPr txBox="1"/>
      </xdr:nvSpPr>
      <xdr:spPr>
        <a:xfrm>
          <a:off x="866775" y="623887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847725</xdr:colOff>
      <xdr:row>34</xdr:row>
      <xdr:rowOff>47625</xdr:rowOff>
    </xdr:from>
    <xdr:to>
      <xdr:col>0</xdr:col>
      <xdr:colOff>2857500</xdr:colOff>
      <xdr:row>36</xdr:row>
      <xdr:rowOff>0</xdr:rowOff>
    </xdr:to>
    <xdr:sp macro="" textlink="">
      <xdr:nvSpPr>
        <xdr:cNvPr id="6" name="CaixaDeText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EF9545-255C-422F-861A-E016119AC1A0}"/>
            </a:ext>
          </a:extLst>
        </xdr:cNvPr>
        <xdr:cNvSpPr txBox="1"/>
      </xdr:nvSpPr>
      <xdr:spPr>
        <a:xfrm>
          <a:off x="847725" y="684847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NOTAS</a:t>
          </a:r>
        </a:p>
      </xdr:txBody>
    </xdr:sp>
    <xdr:clientData/>
  </xdr:twoCellAnchor>
  <xdr:twoCellAnchor>
    <xdr:from>
      <xdr:col>0</xdr:col>
      <xdr:colOff>942975</xdr:colOff>
      <xdr:row>0</xdr:row>
      <xdr:rowOff>0</xdr:rowOff>
    </xdr:from>
    <xdr:to>
      <xdr:col>0</xdr:col>
      <xdr:colOff>2781300</xdr:colOff>
      <xdr:row>1</xdr:row>
      <xdr:rowOff>123825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1B0EF71E-621D-4FFA-C9F4-AF31ECA216AA}"/>
            </a:ext>
          </a:extLst>
        </xdr:cNvPr>
        <xdr:cNvSpPr txBox="1"/>
      </xdr:nvSpPr>
      <xdr:spPr>
        <a:xfrm>
          <a:off x="942975" y="0"/>
          <a:ext cx="1838325" cy="323850"/>
        </a:xfrm>
        <a:prstGeom prst="rect">
          <a:avLst/>
        </a:prstGeom>
        <a:gradFill flip="none" rotWithShape="1">
          <a:gsLst>
            <a:gs pos="35455">
              <a:srgbClr val="FFFFFD"/>
            </a:gs>
            <a:gs pos="0">
              <a:schemeClr val="accent3">
                <a:lumMod val="0"/>
                <a:lumOff val="100000"/>
              </a:schemeClr>
            </a:gs>
            <a:gs pos="89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SYSTEM</a:t>
          </a:r>
          <a:r>
            <a:rPr lang="pt-BR" sz="1000" b="1" baseline="0">
              <a:solidFill>
                <a:sysClr val="windowText" lastClr="000000"/>
              </a:solidFill>
            </a:rPr>
            <a:t> BY SAMARA 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2524126</xdr:colOff>
      <xdr:row>0</xdr:row>
      <xdr:rowOff>0</xdr:rowOff>
    </xdr:from>
    <xdr:to>
      <xdr:col>0</xdr:col>
      <xdr:colOff>2733676</xdr:colOff>
      <xdr:row>1</xdr:row>
      <xdr:rowOff>51435</xdr:rowOff>
    </xdr:to>
    <xdr:pic>
      <xdr:nvPicPr>
        <xdr:cNvPr id="18" name="Imagem 17" descr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CF3D64-7646-A69C-DDD1-BE4DD652D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42" t="-2085" r="13741" b="14565"/>
        <a:stretch>
          <a:fillRect/>
        </a:stretch>
      </xdr:blipFill>
      <xdr:spPr bwMode="auto">
        <a:xfrm>
          <a:off x="2524126" y="0"/>
          <a:ext cx="2095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866775</xdr:colOff>
      <xdr:row>37</xdr:row>
      <xdr:rowOff>0</xdr:rowOff>
    </xdr:from>
    <xdr:to>
      <xdr:col>0</xdr:col>
      <xdr:colOff>2876550</xdr:colOff>
      <xdr:row>38</xdr:row>
      <xdr:rowOff>152400</xdr:rowOff>
    </xdr:to>
    <xdr:sp macro="" textlink="">
      <xdr:nvSpPr>
        <xdr:cNvPr id="3" name="CaixaDeTexto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B792B3B-FDD3-47D3-A97A-6D4418A74F53}"/>
            </a:ext>
          </a:extLst>
        </xdr:cNvPr>
        <xdr:cNvSpPr txBox="1"/>
      </xdr:nvSpPr>
      <xdr:spPr>
        <a:xfrm>
          <a:off x="866775" y="740092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BENS E DIREITOS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82962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4A7C32C9-0550-4554-A480-7FEEB41A1A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24275" cy="829627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</xdr:pic>
    <xdr:clientData fLocksWithSheet="0"/>
  </xdr:oneCellAnchor>
  <xdr:twoCellAnchor editAs="absolute">
    <xdr:from>
      <xdr:col>0</xdr:col>
      <xdr:colOff>857250</xdr:colOff>
      <xdr:row>32</xdr:row>
      <xdr:rowOff>85725</xdr:rowOff>
    </xdr:from>
    <xdr:to>
      <xdr:col>0</xdr:col>
      <xdr:colOff>2867025</xdr:colOff>
      <xdr:row>34</xdr:row>
      <xdr:rowOff>38100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0588D6-BA3E-4D8D-8253-AE7957CBE993}"/>
            </a:ext>
          </a:extLst>
        </xdr:cNvPr>
        <xdr:cNvSpPr txBox="1"/>
      </xdr:nvSpPr>
      <xdr:spPr>
        <a:xfrm>
          <a:off x="857250" y="580072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857250</xdr:colOff>
      <xdr:row>34</xdr:row>
      <xdr:rowOff>190500</xdr:rowOff>
    </xdr:from>
    <xdr:to>
      <xdr:col>0</xdr:col>
      <xdr:colOff>2867025</xdr:colOff>
      <xdr:row>36</xdr:row>
      <xdr:rowOff>142875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06B0C48-B9C0-41B2-B15D-7560B4DA3E1E}"/>
            </a:ext>
          </a:extLst>
        </xdr:cNvPr>
        <xdr:cNvSpPr txBox="1"/>
      </xdr:nvSpPr>
      <xdr:spPr>
        <a:xfrm>
          <a:off x="857250" y="6305550"/>
          <a:ext cx="200977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INFORMES</a:t>
          </a:r>
        </a:p>
      </xdr:txBody>
    </xdr:sp>
    <xdr:clientData/>
  </xdr:twoCellAnchor>
  <xdr:twoCellAnchor editAs="absolute">
    <xdr:from>
      <xdr:col>0</xdr:col>
      <xdr:colOff>857250</xdr:colOff>
      <xdr:row>37</xdr:row>
      <xdr:rowOff>104775</xdr:rowOff>
    </xdr:from>
    <xdr:to>
      <xdr:col>0</xdr:col>
      <xdr:colOff>2867025</xdr:colOff>
      <xdr:row>39</xdr:row>
      <xdr:rowOff>57150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688848A-E2B6-4363-817D-C06D20191B90}"/>
            </a:ext>
          </a:extLst>
        </xdr:cNvPr>
        <xdr:cNvSpPr txBox="1"/>
      </xdr:nvSpPr>
      <xdr:spPr>
        <a:xfrm>
          <a:off x="857250" y="6819900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NOTAS</a:t>
          </a:r>
        </a:p>
      </xdr:txBody>
    </xdr:sp>
    <xdr:clientData/>
  </xdr:twoCellAnchor>
  <xdr:twoCellAnchor>
    <xdr:from>
      <xdr:col>0</xdr:col>
      <xdr:colOff>942975</xdr:colOff>
      <xdr:row>0</xdr:row>
      <xdr:rowOff>0</xdr:rowOff>
    </xdr:from>
    <xdr:to>
      <xdr:col>0</xdr:col>
      <xdr:colOff>2781300</xdr:colOff>
      <xdr:row>1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30DDCB7B-1CA4-4D39-9C22-31A6AA33CEBC}"/>
            </a:ext>
          </a:extLst>
        </xdr:cNvPr>
        <xdr:cNvSpPr txBox="1"/>
      </xdr:nvSpPr>
      <xdr:spPr>
        <a:xfrm>
          <a:off x="942975" y="0"/>
          <a:ext cx="1838325" cy="323850"/>
        </a:xfrm>
        <a:prstGeom prst="rect">
          <a:avLst/>
        </a:prstGeom>
        <a:gradFill flip="none" rotWithShape="1">
          <a:gsLst>
            <a:gs pos="35455">
              <a:srgbClr val="FFFFFD"/>
            </a:gs>
            <a:gs pos="0">
              <a:schemeClr val="accent3">
                <a:lumMod val="0"/>
                <a:lumOff val="100000"/>
              </a:schemeClr>
            </a:gs>
            <a:gs pos="89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SYSTEM</a:t>
          </a:r>
          <a:r>
            <a:rPr lang="pt-BR" sz="1000" b="1" baseline="0">
              <a:solidFill>
                <a:sysClr val="windowText" lastClr="000000"/>
              </a:solidFill>
            </a:rPr>
            <a:t> BY SAMARA 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2524126</xdr:colOff>
      <xdr:row>0</xdr:row>
      <xdr:rowOff>0</xdr:rowOff>
    </xdr:from>
    <xdr:to>
      <xdr:col>0</xdr:col>
      <xdr:colOff>2733676</xdr:colOff>
      <xdr:row>1</xdr:row>
      <xdr:rowOff>51435</xdr:rowOff>
    </xdr:to>
    <xdr:pic>
      <xdr:nvPicPr>
        <xdr:cNvPr id="7" name="Imagem 6" descr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7A4E07-30BE-49F0-B97C-83C1EAD842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42" t="-2085" r="13741" b="14565"/>
        <a:stretch>
          <a:fillRect/>
        </a:stretch>
      </xdr:blipFill>
      <xdr:spPr bwMode="auto">
        <a:xfrm>
          <a:off x="2524126" y="0"/>
          <a:ext cx="2095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847725</xdr:colOff>
      <xdr:row>40</xdr:row>
      <xdr:rowOff>38100</xdr:rowOff>
    </xdr:from>
    <xdr:to>
      <xdr:col>0</xdr:col>
      <xdr:colOff>2857500</xdr:colOff>
      <xdr:row>41</xdr:row>
      <xdr:rowOff>190500</xdr:rowOff>
    </xdr:to>
    <xdr:sp macro="" textlink="">
      <xdr:nvSpPr>
        <xdr:cNvPr id="8" name="CaixaDeTex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A54B10-67DC-4C0D-98EB-26FB7F462634}"/>
            </a:ext>
          </a:extLst>
        </xdr:cNvPr>
        <xdr:cNvSpPr txBox="1"/>
      </xdr:nvSpPr>
      <xdr:spPr>
        <a:xfrm>
          <a:off x="847725" y="7353300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BENS E DIREITOS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82962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BD59E136-376D-438B-AAEF-169DDC473F9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24275" cy="829627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</xdr:pic>
    <xdr:clientData fLocksWithSheet="0"/>
  </xdr:oneCellAnchor>
  <xdr:twoCellAnchor editAs="absolute">
    <xdr:from>
      <xdr:col>0</xdr:col>
      <xdr:colOff>876300</xdr:colOff>
      <xdr:row>28</xdr:row>
      <xdr:rowOff>19050</xdr:rowOff>
    </xdr:from>
    <xdr:to>
      <xdr:col>0</xdr:col>
      <xdr:colOff>2886075</xdr:colOff>
      <xdr:row>29</xdr:row>
      <xdr:rowOff>171450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D0E568-C923-4EA8-94A2-0B63DEF750CD}"/>
            </a:ext>
          </a:extLst>
        </xdr:cNvPr>
        <xdr:cNvSpPr txBox="1"/>
      </xdr:nvSpPr>
      <xdr:spPr>
        <a:xfrm>
          <a:off x="876300" y="5619750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866775</xdr:colOff>
      <xdr:row>31</xdr:row>
      <xdr:rowOff>38100</xdr:rowOff>
    </xdr:from>
    <xdr:to>
      <xdr:col>0</xdr:col>
      <xdr:colOff>2876550</xdr:colOff>
      <xdr:row>32</xdr:row>
      <xdr:rowOff>190500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F639880-65C1-4F9A-8099-4A05A8A78149}"/>
            </a:ext>
          </a:extLst>
        </xdr:cNvPr>
        <xdr:cNvSpPr txBox="1"/>
      </xdr:nvSpPr>
      <xdr:spPr>
        <a:xfrm>
          <a:off x="866775" y="623887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 b="1" i="1">
              <a:solidFill>
                <a:schemeClr val="tx2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847725</xdr:colOff>
      <xdr:row>34</xdr:row>
      <xdr:rowOff>47625</xdr:rowOff>
    </xdr:from>
    <xdr:to>
      <xdr:col>0</xdr:col>
      <xdr:colOff>2857500</xdr:colOff>
      <xdr:row>36</xdr:row>
      <xdr:rowOff>0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A07F0D-BA64-4338-9AB0-969F8B16ECB2}"/>
            </a:ext>
          </a:extLst>
        </xdr:cNvPr>
        <xdr:cNvSpPr txBox="1"/>
      </xdr:nvSpPr>
      <xdr:spPr>
        <a:xfrm>
          <a:off x="847725" y="6848475"/>
          <a:ext cx="200977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NOTAS</a:t>
          </a:r>
        </a:p>
      </xdr:txBody>
    </xdr:sp>
    <xdr:clientData/>
  </xdr:twoCellAnchor>
  <xdr:twoCellAnchor>
    <xdr:from>
      <xdr:col>0</xdr:col>
      <xdr:colOff>942975</xdr:colOff>
      <xdr:row>0</xdr:row>
      <xdr:rowOff>0</xdr:rowOff>
    </xdr:from>
    <xdr:to>
      <xdr:col>0</xdr:col>
      <xdr:colOff>2781300</xdr:colOff>
      <xdr:row>2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21DF351-1302-49B9-B9CA-F9DCE48CFF0E}"/>
            </a:ext>
          </a:extLst>
        </xdr:cNvPr>
        <xdr:cNvSpPr txBox="1"/>
      </xdr:nvSpPr>
      <xdr:spPr>
        <a:xfrm>
          <a:off x="942975" y="0"/>
          <a:ext cx="1838325" cy="323850"/>
        </a:xfrm>
        <a:prstGeom prst="rect">
          <a:avLst/>
        </a:prstGeom>
        <a:gradFill flip="none" rotWithShape="1">
          <a:gsLst>
            <a:gs pos="35455">
              <a:srgbClr val="FFFFFD"/>
            </a:gs>
            <a:gs pos="0">
              <a:schemeClr val="accent3">
                <a:lumMod val="0"/>
                <a:lumOff val="100000"/>
              </a:schemeClr>
            </a:gs>
            <a:gs pos="89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SYSTEM</a:t>
          </a:r>
          <a:r>
            <a:rPr lang="pt-BR" sz="1000" b="1" baseline="0">
              <a:solidFill>
                <a:sysClr val="windowText" lastClr="000000"/>
              </a:solidFill>
            </a:rPr>
            <a:t> BY SAMARA 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2524126</xdr:colOff>
      <xdr:row>0</xdr:row>
      <xdr:rowOff>0</xdr:rowOff>
    </xdr:from>
    <xdr:to>
      <xdr:col>0</xdr:col>
      <xdr:colOff>2733676</xdr:colOff>
      <xdr:row>1</xdr:row>
      <xdr:rowOff>51435</xdr:rowOff>
    </xdr:to>
    <xdr:pic>
      <xdr:nvPicPr>
        <xdr:cNvPr id="7" name="Imagem 6" descr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8902439-CFF4-42B4-9B1B-E77E3E4FEE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42" t="-2085" r="13741" b="14565"/>
        <a:stretch>
          <a:fillRect/>
        </a:stretch>
      </xdr:blipFill>
      <xdr:spPr bwMode="auto">
        <a:xfrm>
          <a:off x="2524126" y="0"/>
          <a:ext cx="2095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857250</xdr:colOff>
      <xdr:row>37</xdr:row>
      <xdr:rowOff>38100</xdr:rowOff>
    </xdr:from>
    <xdr:to>
      <xdr:col>0</xdr:col>
      <xdr:colOff>2867025</xdr:colOff>
      <xdr:row>38</xdr:row>
      <xdr:rowOff>190500</xdr:rowOff>
    </xdr:to>
    <xdr:sp macro="" textlink="">
      <xdr:nvSpPr>
        <xdr:cNvPr id="8" name="CaixaDeText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FDB66B2-EF24-480D-9686-EA20451B9A81}"/>
            </a:ext>
          </a:extLst>
        </xdr:cNvPr>
        <xdr:cNvSpPr txBox="1"/>
      </xdr:nvSpPr>
      <xdr:spPr>
        <a:xfrm>
          <a:off x="857250" y="743902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BENS E DIREITOS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82962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803CD806-55F8-4E74-A25B-D233DE4CD53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724275" cy="829627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</xdr:pic>
    <xdr:clientData fLocksWithSheet="0"/>
  </xdr:oneCellAnchor>
  <xdr:twoCellAnchor editAs="absolute">
    <xdr:from>
      <xdr:col>0</xdr:col>
      <xdr:colOff>876300</xdr:colOff>
      <xdr:row>28</xdr:row>
      <xdr:rowOff>123825</xdr:rowOff>
    </xdr:from>
    <xdr:to>
      <xdr:col>0</xdr:col>
      <xdr:colOff>2886075</xdr:colOff>
      <xdr:row>30</xdr:row>
      <xdr:rowOff>76200</xdr:rowOff>
    </xdr:to>
    <xdr:sp macro="" textlink="">
      <xdr:nvSpPr>
        <xdr:cNvPr id="3" name="CaixaDeText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A9427B6-5CF9-4C85-8FE1-471F56E421EE}"/>
            </a:ext>
          </a:extLst>
        </xdr:cNvPr>
        <xdr:cNvSpPr txBox="1"/>
      </xdr:nvSpPr>
      <xdr:spPr>
        <a:xfrm>
          <a:off x="876300" y="5619750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TITULAR</a:t>
          </a:r>
        </a:p>
      </xdr:txBody>
    </xdr:sp>
    <xdr:clientData/>
  </xdr:twoCellAnchor>
  <xdr:twoCellAnchor editAs="absolute">
    <xdr:from>
      <xdr:col>0</xdr:col>
      <xdr:colOff>866775</xdr:colOff>
      <xdr:row>31</xdr:row>
      <xdr:rowOff>142875</xdr:rowOff>
    </xdr:from>
    <xdr:to>
      <xdr:col>0</xdr:col>
      <xdr:colOff>2876550</xdr:colOff>
      <xdr:row>33</xdr:row>
      <xdr:rowOff>95250</xdr:rowOff>
    </xdr:to>
    <xdr:sp macro="" textlink="">
      <xdr:nvSpPr>
        <xdr:cNvPr id="4" name="CaixaDe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A9C1BDA-01FD-4517-9D77-405646D891D0}"/>
            </a:ext>
          </a:extLst>
        </xdr:cNvPr>
        <xdr:cNvSpPr txBox="1"/>
      </xdr:nvSpPr>
      <xdr:spPr>
        <a:xfrm>
          <a:off x="866775" y="623887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100" b="1" i="1">
              <a:solidFill>
                <a:schemeClr val="tx2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847725</xdr:colOff>
      <xdr:row>34</xdr:row>
      <xdr:rowOff>152400</xdr:rowOff>
    </xdr:from>
    <xdr:to>
      <xdr:col>0</xdr:col>
      <xdr:colOff>2857500</xdr:colOff>
      <xdr:row>36</xdr:row>
      <xdr:rowOff>104775</xdr:rowOff>
    </xdr:to>
    <xdr:sp macro="" textlink="">
      <xdr:nvSpPr>
        <xdr:cNvPr id="5" name="CaixaDeText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98E3D-D11F-474D-BA28-44FB9A7F552D}"/>
            </a:ext>
          </a:extLst>
        </xdr:cNvPr>
        <xdr:cNvSpPr txBox="1"/>
      </xdr:nvSpPr>
      <xdr:spPr>
        <a:xfrm>
          <a:off x="847725" y="6848475"/>
          <a:ext cx="2009775" cy="352425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NOTAS</a:t>
          </a:r>
        </a:p>
      </xdr:txBody>
    </xdr:sp>
    <xdr:clientData/>
  </xdr:twoCellAnchor>
  <xdr:twoCellAnchor>
    <xdr:from>
      <xdr:col>0</xdr:col>
      <xdr:colOff>942975</xdr:colOff>
      <xdr:row>0</xdr:row>
      <xdr:rowOff>0</xdr:rowOff>
    </xdr:from>
    <xdr:to>
      <xdr:col>0</xdr:col>
      <xdr:colOff>2781300</xdr:colOff>
      <xdr:row>2</xdr:row>
      <xdr:rowOff>123825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580D9FF-DCCA-4E2A-9836-ED2E48CC9189}"/>
            </a:ext>
          </a:extLst>
        </xdr:cNvPr>
        <xdr:cNvSpPr txBox="1"/>
      </xdr:nvSpPr>
      <xdr:spPr>
        <a:xfrm>
          <a:off x="942975" y="0"/>
          <a:ext cx="1838325" cy="523875"/>
        </a:xfrm>
        <a:prstGeom prst="rect">
          <a:avLst/>
        </a:prstGeom>
        <a:gradFill flip="none" rotWithShape="1">
          <a:gsLst>
            <a:gs pos="35455">
              <a:srgbClr val="FFFFFD"/>
            </a:gs>
            <a:gs pos="0">
              <a:schemeClr val="accent3">
                <a:lumMod val="0"/>
                <a:lumOff val="100000"/>
              </a:schemeClr>
            </a:gs>
            <a:gs pos="89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000" b="1">
              <a:solidFill>
                <a:sysClr val="windowText" lastClr="000000"/>
              </a:solidFill>
            </a:rPr>
            <a:t>SYSTEM</a:t>
          </a:r>
          <a:r>
            <a:rPr lang="pt-BR" sz="1000" b="1" baseline="0">
              <a:solidFill>
                <a:sysClr val="windowText" lastClr="000000"/>
              </a:solidFill>
            </a:rPr>
            <a:t> BY SAMARA </a:t>
          </a:r>
          <a:endParaRPr lang="pt-BR" sz="10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2524126</xdr:colOff>
      <xdr:row>0</xdr:row>
      <xdr:rowOff>0</xdr:rowOff>
    </xdr:from>
    <xdr:to>
      <xdr:col>0</xdr:col>
      <xdr:colOff>2733676</xdr:colOff>
      <xdr:row>1</xdr:row>
      <xdr:rowOff>51435</xdr:rowOff>
    </xdr:to>
    <xdr:pic>
      <xdr:nvPicPr>
        <xdr:cNvPr id="7" name="Imagem 6" descr="LinkedIn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9CBA33B-2606-42E1-97F0-AFFBBE4639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542" t="-2085" r="13741" b="14565"/>
        <a:stretch>
          <a:fillRect/>
        </a:stretch>
      </xdr:blipFill>
      <xdr:spPr bwMode="auto">
        <a:xfrm>
          <a:off x="2524126" y="0"/>
          <a:ext cx="209550" cy="251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838200</xdr:colOff>
      <xdr:row>37</xdr:row>
      <xdr:rowOff>142875</xdr:rowOff>
    </xdr:from>
    <xdr:to>
      <xdr:col>0</xdr:col>
      <xdr:colOff>2847975</xdr:colOff>
      <xdr:row>39</xdr:row>
      <xdr:rowOff>95250</xdr:rowOff>
    </xdr:to>
    <xdr:sp macro="" textlink="">
      <xdr:nvSpPr>
        <xdr:cNvPr id="8" name="CaixaDeText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F04B6CF-7613-4452-AC03-F793EBF3EA2C}"/>
            </a:ext>
          </a:extLst>
        </xdr:cNvPr>
        <xdr:cNvSpPr txBox="1"/>
      </xdr:nvSpPr>
      <xdr:spPr>
        <a:xfrm>
          <a:off x="838200" y="7439025"/>
          <a:ext cx="2009775" cy="352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i="1">
              <a:solidFill>
                <a:schemeClr val="tx2"/>
              </a:solidFill>
            </a:rPr>
            <a:t>BENS E DIREITOS</a:t>
          </a:r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4F905B-6042-4191-8C58-8AB7B828F4C3}" name="Tabela1" displayName="Tabela1" ref="C7:E48" totalsRowShown="0" dataDxfId="9">
  <autoFilter ref="C7:E48" xr:uid="{484F905B-6042-4191-8C58-8AB7B828F4C3}"/>
  <tableColumns count="3">
    <tableColumn id="1" xr3:uid="{8F7E4433-525E-40F6-9638-B77AA15FAE3D}" name="DATA" dataDxfId="12"/>
    <tableColumn id="2" xr3:uid="{B11AC525-796F-4F62-BA1E-D9B4960DD205}" name="CATEGORIA" dataDxfId="11"/>
    <tableColumn id="3" xr3:uid="{FA0C0CDB-D9D2-4E3D-829A-855A1FEEA23E}" name="VALOR" dataDxfId="1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852E7-40F2-482A-8B7F-F99139B8F1A0}" name="Tabela13" displayName="Tabela13" ref="G7:I48" totalsRowShown="0" dataDxfId="8">
  <autoFilter ref="G7:I48" xr:uid="{131852E7-40F2-482A-8B7F-F99139B8F1A0}"/>
  <tableColumns count="3">
    <tableColumn id="1" xr3:uid="{560CE083-D6F2-4502-A268-B7809B624E6B}" name="DATA" dataDxfId="7"/>
    <tableColumn id="2" xr3:uid="{1B3AE8EC-0B18-4A0A-81B3-3ACC655D3395}" name="CATEGORIA" dataDxfId="6"/>
    <tableColumn id="3" xr3:uid="{6845F245-FBFD-4F2F-9DB9-07AA42FBD895}" name="VALOR" dataDxfId="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3AAB36-4E48-4471-A257-9B5DE2776EAC}" name="Tabela14" displayName="Tabela14" ref="C7:F75" totalsRowShown="0" dataDxfId="4">
  <autoFilter ref="C7:F75" xr:uid="{484F905B-6042-4191-8C58-8AB7B828F4C3}"/>
  <tableColumns count="4">
    <tableColumn id="1" xr3:uid="{AF424B4B-B374-4EF5-92E3-62EF0305F9D4}" name="GRUPO 01 - Bens Imóveis" dataDxfId="3"/>
    <tableColumn id="2" xr3:uid="{BE076784-716F-4346-A89D-4DF666113EFB}" name="DESCRIÇÃO" dataDxfId="2"/>
    <tableColumn id="4" xr3:uid="{0FE057A0-F2EE-4519-B2E5-FDE90B76F343}" name="VALOR DATA INICIAL" dataDxfId="0" dataCellStyle="Moeda"/>
    <tableColumn id="3" xr3:uid="{A0812ADF-AD83-4700-A19D-75CF2121FC46}" name="VALOR DATA FINAL" dataDxfId="1" dataCellStyle="Moed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aaa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</sheetPr>
  <dimension ref="C2:D20"/>
  <sheetViews>
    <sheetView showGridLines="0" tabSelected="1" workbookViewId="0"/>
  </sheetViews>
  <sheetFormatPr defaultColWidth="12.5703125" defaultRowHeight="15.75" customHeight="1" x14ac:dyDescent="0.2"/>
  <cols>
    <col min="1" max="1" width="59.7109375" customWidth="1"/>
    <col min="2" max="2" width="11.7109375" customWidth="1"/>
    <col min="3" max="4" width="43.7109375" customWidth="1"/>
  </cols>
  <sheetData>
    <row r="2" spans="3:4" x14ac:dyDescent="0.2">
      <c r="C2" s="1" t="s">
        <v>0</v>
      </c>
    </row>
    <row r="3" spans="3:4" x14ac:dyDescent="0.2">
      <c r="C3" s="30" t="s">
        <v>20</v>
      </c>
      <c r="D3" s="31"/>
    </row>
    <row r="5" spans="3:4" x14ac:dyDescent="0.2">
      <c r="C5" s="3" t="s">
        <v>1</v>
      </c>
      <c r="D5" s="6"/>
    </row>
    <row r="6" spans="3:4" x14ac:dyDescent="0.2">
      <c r="C6" s="4" t="s">
        <v>2</v>
      </c>
      <c r="D6" s="9">
        <v>12345647889</v>
      </c>
    </row>
    <row r="7" spans="3:4" x14ac:dyDescent="0.2">
      <c r="C7" s="4" t="s">
        <v>3</v>
      </c>
      <c r="D7" s="12">
        <v>25021999</v>
      </c>
    </row>
    <row r="8" spans="3:4" x14ac:dyDescent="0.2">
      <c r="C8" s="4" t="s">
        <v>4</v>
      </c>
      <c r="D8" s="7">
        <v>789456142</v>
      </c>
    </row>
    <row r="9" spans="3:4" x14ac:dyDescent="0.2">
      <c r="C9" s="4" t="s">
        <v>5</v>
      </c>
      <c r="D9" s="7"/>
    </row>
    <row r="10" spans="3:4" x14ac:dyDescent="0.2">
      <c r="C10" s="4" t="s">
        <v>6</v>
      </c>
      <c r="D10" s="7"/>
    </row>
    <row r="11" spans="3:4" x14ac:dyDescent="0.2">
      <c r="C11" s="4" t="s">
        <v>7</v>
      </c>
      <c r="D11" s="7"/>
    </row>
    <row r="12" spans="3:4" x14ac:dyDescent="0.2">
      <c r="C12" s="4" t="s">
        <v>8</v>
      </c>
      <c r="D12" s="13">
        <v>63132085</v>
      </c>
    </row>
    <row r="13" spans="3:4" x14ac:dyDescent="0.2">
      <c r="C13" s="4" t="s">
        <v>9</v>
      </c>
      <c r="D13" s="11">
        <v>8899999999</v>
      </c>
    </row>
    <row r="14" spans="3:4" x14ac:dyDescent="0.2">
      <c r="C14" s="4" t="s">
        <v>10</v>
      </c>
      <c r="D14" s="10">
        <v>88995555555</v>
      </c>
    </row>
    <row r="15" spans="3:4" x14ac:dyDescent="0.2">
      <c r="C15" s="4" t="s">
        <v>11</v>
      </c>
      <c r="D15" s="14" t="s">
        <v>18</v>
      </c>
    </row>
    <row r="16" spans="3:4" x14ac:dyDescent="0.2">
      <c r="C16" s="4" t="s">
        <v>12</v>
      </c>
      <c r="D16" s="7" t="s">
        <v>16</v>
      </c>
    </row>
    <row r="17" spans="3:4" x14ac:dyDescent="0.2">
      <c r="C17" s="4" t="s">
        <v>13</v>
      </c>
      <c r="D17" s="7" t="s">
        <v>17</v>
      </c>
    </row>
    <row r="18" spans="3:4" x14ac:dyDescent="0.2">
      <c r="C18" s="5" t="s">
        <v>14</v>
      </c>
      <c r="D18" s="8" t="s">
        <v>16</v>
      </c>
    </row>
    <row r="20" spans="3:4" x14ac:dyDescent="0.2">
      <c r="D20" s="26" t="s">
        <v>15</v>
      </c>
    </row>
  </sheetData>
  <mergeCells count="1">
    <mergeCell ref="C3:D3"/>
  </mergeCells>
  <dataValidations count="1">
    <dataValidation type="list" allowBlank="1" showInputMessage="1" showErrorMessage="1" sqref="D16:D18" xr:uid="{5B22F6AA-AE35-4805-AEE7-F18104954279}">
      <formula1>"SIM,NÃO"</formula1>
    </dataValidation>
  </dataValidations>
  <hyperlinks>
    <hyperlink ref="D15" r:id="rId1" xr:uid="{0FF93D74-60DE-454F-A7DB-233B0BE2368D}"/>
    <hyperlink ref="D20" location="INFORMES!A1" display="PRÓXIMO➡️" xr:uid="{180CA23D-99AC-4519-BBEF-E2093562B0D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F9B1-868B-4A48-B32F-E162FC273E6C}">
  <sheetPr codeName="Planilha3">
    <outlinePr summaryBelow="0" summaryRight="0"/>
  </sheetPr>
  <dimension ref="C2:D33"/>
  <sheetViews>
    <sheetView showGridLines="0" topLeftCell="A7" workbookViewId="0"/>
  </sheetViews>
  <sheetFormatPr defaultColWidth="12.5703125" defaultRowHeight="15.75" customHeight="1" x14ac:dyDescent="0.2"/>
  <cols>
    <col min="1" max="1" width="59.7109375" customWidth="1"/>
    <col min="2" max="2" width="11.7109375" customWidth="1"/>
    <col min="3" max="4" width="43.7109375" customWidth="1"/>
  </cols>
  <sheetData>
    <row r="2" spans="3:4" ht="12.75" x14ac:dyDescent="0.2">
      <c r="C2" s="27" t="s">
        <v>80</v>
      </c>
    </row>
    <row r="3" spans="3:4" ht="12.75" x14ac:dyDescent="0.2">
      <c r="C3" s="32" t="s">
        <v>19</v>
      </c>
      <c r="D3" s="33"/>
    </row>
    <row r="4" spans="3:4" ht="12.75" x14ac:dyDescent="0.2"/>
    <row r="5" spans="3:4" ht="15.75" customHeight="1" x14ac:dyDescent="0.2">
      <c r="C5" s="25" t="s">
        <v>77</v>
      </c>
      <c r="D5" s="24">
        <f>SUM(D10,D16,D22,D29)</f>
        <v>23570084</v>
      </c>
    </row>
    <row r="6" spans="3:4" ht="12.75" x14ac:dyDescent="0.2"/>
    <row r="7" spans="3:4" ht="12.75" x14ac:dyDescent="0.2"/>
    <row r="8" spans="3:4" ht="12.75" x14ac:dyDescent="0.2">
      <c r="C8" t="s">
        <v>73</v>
      </c>
    </row>
    <row r="9" spans="3:4" ht="12.75" x14ac:dyDescent="0.2">
      <c r="C9" s="15" t="s">
        <v>21</v>
      </c>
      <c r="D9" s="20" t="s">
        <v>44</v>
      </c>
    </row>
    <row r="10" spans="3:4" ht="12.75" x14ac:dyDescent="0.2">
      <c r="C10" s="16" t="s">
        <v>22</v>
      </c>
      <c r="D10" s="17">
        <v>5892521</v>
      </c>
    </row>
    <row r="11" spans="3:4" ht="12.75" x14ac:dyDescent="0.2">
      <c r="C11" s="21" t="s">
        <v>23</v>
      </c>
      <c r="D11" s="2"/>
    </row>
    <row r="12" spans="3:4" ht="12.75" x14ac:dyDescent="0.2">
      <c r="C12" s="22"/>
      <c r="D12" s="23"/>
    </row>
    <row r="13" spans="3:4" ht="12.75" x14ac:dyDescent="0.2">
      <c r="C13" s="22"/>
      <c r="D13" s="23"/>
    </row>
    <row r="14" spans="3:4" ht="12.75" x14ac:dyDescent="0.2">
      <c r="C14" t="s">
        <v>74</v>
      </c>
    </row>
    <row r="15" spans="3:4" ht="12.75" x14ac:dyDescent="0.2">
      <c r="C15" s="15" t="s">
        <v>21</v>
      </c>
      <c r="D15" s="20" t="s">
        <v>44</v>
      </c>
    </row>
    <row r="16" spans="3:4" ht="12.75" x14ac:dyDescent="0.2">
      <c r="C16" s="16" t="s">
        <v>22</v>
      </c>
      <c r="D16" s="17">
        <v>5892521</v>
      </c>
    </row>
    <row r="17" spans="3:4" ht="12.75" x14ac:dyDescent="0.2">
      <c r="C17" s="21" t="s">
        <v>23</v>
      </c>
      <c r="D17" s="2"/>
    </row>
    <row r="18" spans="3:4" ht="12.75" x14ac:dyDescent="0.2">
      <c r="C18" s="22"/>
      <c r="D18" s="23"/>
    </row>
    <row r="19" spans="3:4" ht="12.75" x14ac:dyDescent="0.2">
      <c r="C19" s="22"/>
      <c r="D19" s="23"/>
    </row>
    <row r="20" spans="3:4" ht="15.75" customHeight="1" x14ac:dyDescent="0.2">
      <c r="C20" t="s">
        <v>75</v>
      </c>
    </row>
    <row r="21" spans="3:4" ht="12.75" x14ac:dyDescent="0.2">
      <c r="C21" s="15" t="s">
        <v>21</v>
      </c>
      <c r="D21" s="20" t="s">
        <v>44</v>
      </c>
    </row>
    <row r="22" spans="3:4" ht="15.75" customHeight="1" x14ac:dyDescent="0.2">
      <c r="C22" s="16" t="s">
        <v>22</v>
      </c>
      <c r="D22" s="17">
        <v>5892521</v>
      </c>
    </row>
    <row r="23" spans="3:4" ht="15.75" customHeight="1" x14ac:dyDescent="0.2">
      <c r="C23" s="21" t="s">
        <v>23</v>
      </c>
      <c r="D23" s="2"/>
    </row>
    <row r="27" spans="3:4" ht="15.75" customHeight="1" x14ac:dyDescent="0.2">
      <c r="C27" t="s">
        <v>76</v>
      </c>
    </row>
    <row r="28" spans="3:4" ht="15.75" customHeight="1" x14ac:dyDescent="0.2">
      <c r="C28" s="15" t="s">
        <v>21</v>
      </c>
      <c r="D28" s="20" t="s">
        <v>44</v>
      </c>
    </row>
    <row r="29" spans="3:4" ht="15.75" customHeight="1" x14ac:dyDescent="0.2">
      <c r="C29" s="16" t="s">
        <v>22</v>
      </c>
      <c r="D29" s="17">
        <v>5892521</v>
      </c>
    </row>
    <row r="30" spans="3:4" ht="15.75" customHeight="1" x14ac:dyDescent="0.2">
      <c r="C30" s="21" t="s">
        <v>23</v>
      </c>
      <c r="D30" s="2"/>
    </row>
    <row r="33" spans="3:4" ht="15.75" customHeight="1" x14ac:dyDescent="0.2">
      <c r="C33" s="26" t="s">
        <v>78</v>
      </c>
      <c r="D33" s="26" t="s">
        <v>79</v>
      </c>
    </row>
  </sheetData>
  <mergeCells count="1">
    <mergeCell ref="C3:D3"/>
  </mergeCells>
  <hyperlinks>
    <hyperlink ref="D33" location="NOTAS!A1" display="PRÓXIMO ➡️" xr:uid="{B74E4271-F8F0-42BC-B004-9BFB1841E722}"/>
    <hyperlink ref="C33" location="TITULAR!A1" display="ANTERIOR ⬅️" xr:uid="{B5C97692-D8F5-48C1-AC7B-DFF4527C3D9E}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Selecione um banco da lista" promptTitle="Informe um banco" prompt="Informe um banco vinculado ao seu CPF" xr:uid="{7F1E1157-E3A6-4F20-BABA-B217CFF48533}">
          <x14:formula1>
            <xm:f>TABELAS!$A$2:$A$49</xm:f>
          </x14:formula1>
          <xm:sqref>D9 D15 D21 D28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7FBD0-226E-4103-AFED-4E310B1EF60E}">
  <sheetPr codeName="Planilha4">
    <outlinePr summaryBelow="0" summaryRight="0"/>
  </sheetPr>
  <dimension ref="C1:I48"/>
  <sheetViews>
    <sheetView showGridLines="0" workbookViewId="0">
      <selection activeCell="D1" sqref="D1"/>
    </sheetView>
  </sheetViews>
  <sheetFormatPr defaultColWidth="12.5703125" defaultRowHeight="15.75" customHeight="1" x14ac:dyDescent="0.2"/>
  <cols>
    <col min="1" max="1" width="56" customWidth="1"/>
    <col min="2" max="2" width="3.140625" customWidth="1"/>
    <col min="3" max="4" width="43.7109375" customWidth="1"/>
    <col min="5" max="5" width="12.7109375" customWidth="1"/>
    <col min="6" max="6" width="10.7109375" customWidth="1"/>
    <col min="7" max="8" width="43.7109375" customWidth="1"/>
    <col min="9" max="9" width="12.7109375" customWidth="1"/>
  </cols>
  <sheetData>
    <row r="1" spans="3:9" ht="15.75" customHeight="1" x14ac:dyDescent="0.2">
      <c r="C1" s="26" t="s">
        <v>78</v>
      </c>
      <c r="D1" s="26" t="s">
        <v>79</v>
      </c>
    </row>
    <row r="3" spans="3:9" x14ac:dyDescent="0.2">
      <c r="C3" s="27" t="s">
        <v>86</v>
      </c>
      <c r="G3" s="27" t="s">
        <v>89</v>
      </c>
    </row>
    <row r="4" spans="3:9" x14ac:dyDescent="0.2">
      <c r="C4" s="34" t="s">
        <v>85</v>
      </c>
      <c r="D4" s="34"/>
      <c r="E4" s="34"/>
      <c r="G4" s="40" t="s">
        <v>124</v>
      </c>
      <c r="H4" s="34"/>
      <c r="I4" s="34"/>
    </row>
    <row r="6" spans="3:9" x14ac:dyDescent="0.2">
      <c r="C6" s="35" t="s">
        <v>84</v>
      </c>
      <c r="D6" s="35"/>
      <c r="E6" s="35"/>
      <c r="G6" s="35" t="s">
        <v>88</v>
      </c>
      <c r="H6" s="35"/>
      <c r="I6" s="35"/>
    </row>
    <row r="7" spans="3:9" x14ac:dyDescent="0.2">
      <c r="C7" s="28" t="s">
        <v>81</v>
      </c>
      <c r="D7" s="29" t="s">
        <v>82</v>
      </c>
      <c r="E7" s="28" t="s">
        <v>83</v>
      </c>
      <c r="G7" s="28" t="s">
        <v>81</v>
      </c>
      <c r="H7" s="29" t="s">
        <v>82</v>
      </c>
      <c r="I7" s="28" t="s">
        <v>83</v>
      </c>
    </row>
    <row r="8" spans="3:9" x14ac:dyDescent="0.2">
      <c r="C8" s="38">
        <v>45323</v>
      </c>
      <c r="D8" s="36" t="s">
        <v>87</v>
      </c>
      <c r="E8" s="37">
        <v>2500</v>
      </c>
      <c r="G8" s="38">
        <v>45802</v>
      </c>
      <c r="H8" s="36"/>
      <c r="I8" s="37">
        <v>250</v>
      </c>
    </row>
    <row r="9" spans="3:9" x14ac:dyDescent="0.2">
      <c r="C9" s="38"/>
      <c r="D9" s="36"/>
      <c r="E9" s="37"/>
      <c r="G9" s="38"/>
      <c r="H9" s="36"/>
      <c r="I9" s="37"/>
    </row>
    <row r="10" spans="3:9" x14ac:dyDescent="0.2">
      <c r="C10" s="38"/>
      <c r="D10" s="39"/>
      <c r="E10" s="37"/>
      <c r="G10" s="38"/>
      <c r="H10" s="36"/>
      <c r="I10" s="37"/>
    </row>
    <row r="11" spans="3:9" x14ac:dyDescent="0.2">
      <c r="C11" s="38"/>
      <c r="D11" s="39"/>
      <c r="E11" s="37"/>
      <c r="G11" s="38"/>
      <c r="H11" s="36"/>
      <c r="I11" s="37"/>
    </row>
    <row r="12" spans="3:9" x14ac:dyDescent="0.2">
      <c r="C12" s="38"/>
      <c r="D12" s="39"/>
      <c r="E12" s="37"/>
      <c r="G12" s="38"/>
      <c r="H12" s="36"/>
      <c r="I12" s="37"/>
    </row>
    <row r="13" spans="3:9" x14ac:dyDescent="0.2">
      <c r="C13" s="38"/>
      <c r="D13" s="39"/>
      <c r="E13" s="37"/>
      <c r="G13" s="38"/>
      <c r="H13" s="36"/>
      <c r="I13" s="37"/>
    </row>
    <row r="14" spans="3:9" x14ac:dyDescent="0.2">
      <c r="C14" s="38"/>
      <c r="D14" s="39"/>
      <c r="E14" s="37"/>
      <c r="G14" s="38"/>
      <c r="H14" s="36"/>
      <c r="I14" s="37"/>
    </row>
    <row r="15" spans="3:9" x14ac:dyDescent="0.2">
      <c r="C15" s="38"/>
      <c r="D15" s="39"/>
      <c r="E15" s="37"/>
      <c r="G15" s="38"/>
      <c r="H15" s="36"/>
      <c r="I15" s="37"/>
    </row>
    <row r="16" spans="3:9" x14ac:dyDescent="0.2">
      <c r="C16" s="38"/>
      <c r="D16" s="39"/>
      <c r="E16" s="37"/>
      <c r="G16" s="38"/>
      <c r="H16" s="36"/>
      <c r="I16" s="37"/>
    </row>
    <row r="17" spans="3:9" x14ac:dyDescent="0.2">
      <c r="C17" s="38"/>
      <c r="D17" s="39"/>
      <c r="E17" s="37"/>
      <c r="G17" s="38"/>
      <c r="H17" s="36"/>
      <c r="I17" s="37"/>
    </row>
    <row r="18" spans="3:9" x14ac:dyDescent="0.2">
      <c r="C18" s="38"/>
      <c r="D18" s="39"/>
      <c r="E18" s="37"/>
      <c r="G18" s="38"/>
      <c r="H18" s="36"/>
      <c r="I18" s="37"/>
    </row>
    <row r="19" spans="3:9" x14ac:dyDescent="0.2">
      <c r="C19" s="38"/>
      <c r="D19" s="39"/>
      <c r="E19" s="37"/>
      <c r="G19" s="38"/>
      <c r="H19" s="36"/>
      <c r="I19" s="37"/>
    </row>
    <row r="20" spans="3:9" x14ac:dyDescent="0.2">
      <c r="C20" s="38"/>
      <c r="D20" s="39"/>
      <c r="E20" s="37"/>
      <c r="G20" s="38"/>
      <c r="H20" s="36"/>
      <c r="I20" s="37"/>
    </row>
    <row r="21" spans="3:9" x14ac:dyDescent="0.2">
      <c r="C21" s="38"/>
      <c r="D21" s="39"/>
      <c r="E21" s="37"/>
      <c r="G21" s="38"/>
      <c r="H21" s="36"/>
      <c r="I21" s="37"/>
    </row>
    <row r="22" spans="3:9" x14ac:dyDescent="0.2">
      <c r="C22" s="38"/>
      <c r="D22" s="39"/>
      <c r="E22" s="37"/>
      <c r="G22" s="38"/>
      <c r="H22" s="36"/>
      <c r="I22" s="37"/>
    </row>
    <row r="23" spans="3:9" x14ac:dyDescent="0.2">
      <c r="C23" s="38"/>
      <c r="D23" s="39"/>
      <c r="E23" s="37"/>
      <c r="G23" s="38"/>
      <c r="H23" s="36"/>
      <c r="I23" s="37"/>
    </row>
    <row r="24" spans="3:9" x14ac:dyDescent="0.2">
      <c r="C24" s="38"/>
      <c r="D24" s="36"/>
      <c r="E24" s="37"/>
      <c r="G24" s="38"/>
      <c r="H24" s="36"/>
      <c r="I24" s="37"/>
    </row>
    <row r="25" spans="3:9" x14ac:dyDescent="0.2">
      <c r="C25" s="38"/>
      <c r="D25" s="36"/>
      <c r="E25" s="37"/>
      <c r="G25" s="38"/>
      <c r="H25" s="36"/>
      <c r="I25" s="37"/>
    </row>
    <row r="26" spans="3:9" x14ac:dyDescent="0.2">
      <c r="C26" s="38"/>
      <c r="D26" s="36"/>
      <c r="E26" s="37"/>
      <c r="G26" s="38"/>
      <c r="H26" s="36"/>
      <c r="I26" s="37"/>
    </row>
    <row r="27" spans="3:9" x14ac:dyDescent="0.2">
      <c r="C27" s="38"/>
      <c r="D27" s="36"/>
      <c r="E27" s="37"/>
      <c r="G27" s="38"/>
      <c r="H27" s="36"/>
      <c r="I27" s="37"/>
    </row>
    <row r="28" spans="3:9" x14ac:dyDescent="0.2">
      <c r="C28" s="38"/>
      <c r="D28" s="36"/>
      <c r="E28" s="37"/>
      <c r="G28" s="38"/>
      <c r="H28" s="36"/>
      <c r="I28" s="37"/>
    </row>
    <row r="29" spans="3:9" x14ac:dyDescent="0.2">
      <c r="C29" s="38"/>
      <c r="D29" s="36"/>
      <c r="E29" s="37"/>
      <c r="G29" s="38"/>
      <c r="H29" s="36"/>
      <c r="I29" s="37"/>
    </row>
    <row r="30" spans="3:9" x14ac:dyDescent="0.2">
      <c r="C30" s="38"/>
      <c r="D30" s="36"/>
      <c r="E30" s="37"/>
      <c r="G30" s="38"/>
      <c r="H30" s="36"/>
      <c r="I30" s="37"/>
    </row>
    <row r="31" spans="3:9" x14ac:dyDescent="0.2">
      <c r="C31" s="38"/>
      <c r="D31" s="36"/>
      <c r="E31" s="37"/>
      <c r="G31" s="38"/>
      <c r="H31" s="36"/>
      <c r="I31" s="37"/>
    </row>
    <row r="32" spans="3:9" x14ac:dyDescent="0.2">
      <c r="C32" s="38"/>
      <c r="D32" s="36"/>
      <c r="E32" s="37"/>
      <c r="G32" s="38"/>
      <c r="H32" s="36"/>
      <c r="I32" s="37"/>
    </row>
    <row r="33" spans="3:9" x14ac:dyDescent="0.2">
      <c r="C33" s="38"/>
      <c r="D33" s="36"/>
      <c r="E33" s="37"/>
      <c r="G33" s="38"/>
      <c r="H33" s="36"/>
      <c r="I33" s="37"/>
    </row>
    <row r="34" spans="3:9" ht="15.75" customHeight="1" x14ac:dyDescent="0.2">
      <c r="C34" s="38"/>
      <c r="D34" s="36"/>
      <c r="E34" s="37"/>
      <c r="G34" s="38"/>
      <c r="H34" s="36"/>
      <c r="I34" s="37"/>
    </row>
    <row r="35" spans="3:9" x14ac:dyDescent="0.2">
      <c r="C35" s="38"/>
      <c r="D35" s="36"/>
      <c r="E35" s="37"/>
      <c r="G35" s="38"/>
      <c r="H35" s="36"/>
      <c r="I35" s="37"/>
    </row>
    <row r="36" spans="3:9" ht="15.75" customHeight="1" x14ac:dyDescent="0.2">
      <c r="C36" s="38"/>
      <c r="D36" s="36"/>
      <c r="E36" s="37"/>
      <c r="G36" s="38"/>
      <c r="H36" s="36"/>
      <c r="I36" s="37"/>
    </row>
    <row r="37" spans="3:9" ht="15.75" customHeight="1" x14ac:dyDescent="0.2">
      <c r="C37" s="38"/>
      <c r="D37" s="36"/>
      <c r="E37" s="37"/>
      <c r="G37" s="38"/>
      <c r="H37" s="36"/>
      <c r="I37" s="37"/>
    </row>
    <row r="38" spans="3:9" ht="15.75" customHeight="1" x14ac:dyDescent="0.2">
      <c r="C38" s="38"/>
      <c r="D38" s="36"/>
      <c r="E38" s="37"/>
      <c r="G38" s="38"/>
      <c r="H38" s="36"/>
      <c r="I38" s="37"/>
    </row>
    <row r="39" spans="3:9" ht="15.75" customHeight="1" x14ac:dyDescent="0.2">
      <c r="C39" s="38"/>
      <c r="D39" s="36"/>
      <c r="E39" s="37"/>
      <c r="G39" s="38"/>
      <c r="H39" s="36"/>
      <c r="I39" s="37"/>
    </row>
    <row r="40" spans="3:9" ht="15.75" customHeight="1" x14ac:dyDescent="0.2">
      <c r="C40" s="38"/>
      <c r="D40" s="36"/>
      <c r="E40" s="37"/>
      <c r="G40" s="38"/>
      <c r="H40" s="36"/>
      <c r="I40" s="37"/>
    </row>
    <row r="41" spans="3:9" ht="15.75" customHeight="1" x14ac:dyDescent="0.2">
      <c r="C41" s="38"/>
      <c r="D41" s="36"/>
      <c r="E41" s="37"/>
      <c r="G41" s="38"/>
      <c r="H41" s="36"/>
      <c r="I41" s="37"/>
    </row>
    <row r="42" spans="3:9" ht="15.75" customHeight="1" x14ac:dyDescent="0.2">
      <c r="C42" s="38"/>
      <c r="D42" s="36"/>
      <c r="E42" s="37"/>
      <c r="G42" s="38"/>
      <c r="H42" s="36"/>
      <c r="I42" s="37"/>
    </row>
    <row r="43" spans="3:9" ht="15.75" customHeight="1" x14ac:dyDescent="0.2">
      <c r="C43" s="38"/>
      <c r="D43" s="36"/>
      <c r="E43" s="37"/>
      <c r="G43" s="38"/>
      <c r="H43" s="36"/>
      <c r="I43" s="37"/>
    </row>
    <row r="44" spans="3:9" ht="15.75" customHeight="1" x14ac:dyDescent="0.2">
      <c r="C44" s="38"/>
      <c r="D44" s="36"/>
      <c r="E44" s="37"/>
      <c r="G44" s="38"/>
      <c r="H44" s="36"/>
      <c r="I44" s="37"/>
    </row>
    <row r="45" spans="3:9" ht="15.75" customHeight="1" x14ac:dyDescent="0.2">
      <c r="C45" s="38"/>
      <c r="D45" s="36"/>
      <c r="E45" s="37"/>
      <c r="G45" s="38"/>
      <c r="H45" s="36"/>
      <c r="I45" s="37"/>
    </row>
    <row r="46" spans="3:9" ht="15.75" customHeight="1" x14ac:dyDescent="0.2">
      <c r="C46" s="38"/>
      <c r="D46" s="36"/>
      <c r="E46" s="37"/>
      <c r="G46" s="38"/>
      <c r="H46" s="36"/>
      <c r="I46" s="37"/>
    </row>
    <row r="47" spans="3:9" ht="15.75" customHeight="1" x14ac:dyDescent="0.2">
      <c r="C47" s="38"/>
      <c r="D47" s="36"/>
      <c r="E47" s="37"/>
      <c r="G47" s="38"/>
      <c r="H47" s="36"/>
      <c r="I47" s="37"/>
    </row>
    <row r="48" spans="3:9" ht="15.75" customHeight="1" x14ac:dyDescent="0.2">
      <c r="C48" s="38"/>
      <c r="D48" s="36"/>
      <c r="E48" s="37"/>
      <c r="G48" s="38"/>
      <c r="H48" s="36"/>
      <c r="I48" s="37"/>
    </row>
  </sheetData>
  <mergeCells count="4">
    <mergeCell ref="C4:E4"/>
    <mergeCell ref="C6:E6"/>
    <mergeCell ref="G6:I6"/>
    <mergeCell ref="G4:I4"/>
  </mergeCells>
  <dataValidations count="1">
    <dataValidation type="list" allowBlank="1" showInputMessage="1" showErrorMessage="1" sqref="D8:D48" xr:uid="{2DA134E1-6EB5-43A8-9FE4-25F8FBF045F4}">
      <formula1>"HOLHERITE,CNPJ,FREELANCE"</formula1>
    </dataValidation>
  </dataValidations>
  <hyperlinks>
    <hyperlink ref="C1" location="INFORMES!A1" display="ANTERIOR ⬅️" xr:uid="{407110AB-1511-4BF4-A89D-160684A83222}"/>
    <hyperlink ref="D1" location="'BENS E DIREITOS'!A1" display="PRÓXIMO ➡️" xr:uid="{71F0E706-ABAF-4B50-82E9-9DADCADED2E3}"/>
  </hyperlink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Despesa não identificada" error="Informe uma das categórias da lista" promptTitle="Informe a despesa" prompt="Informe uma das categórias da lista" xr:uid="{3F4AF9F4-3522-4151-B4E5-FC4CF549BBA4}">
          <x14:formula1>
            <xm:f>TABELAS!$C$2:$C$34</xm:f>
          </x14:formula1>
          <xm:sqref>H8:H48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B38AF-3EA3-4F05-BB27-C33AF2D9B289}">
  <sheetPr>
    <outlinePr summaryBelow="0" summaryRight="0"/>
  </sheetPr>
  <dimension ref="C1:I75"/>
  <sheetViews>
    <sheetView showGridLines="0" workbookViewId="0">
      <selection activeCell="C11" sqref="C11"/>
    </sheetView>
  </sheetViews>
  <sheetFormatPr defaultColWidth="12.5703125" defaultRowHeight="15.75" customHeight="1" x14ac:dyDescent="0.2"/>
  <cols>
    <col min="1" max="1" width="56" customWidth="1"/>
    <col min="2" max="2" width="3.140625" customWidth="1"/>
    <col min="3" max="3" width="39.28515625" customWidth="1"/>
    <col min="4" max="4" width="43.7109375" customWidth="1"/>
    <col min="5" max="6" width="25.7109375" customWidth="1"/>
    <col min="7" max="7" width="5.5703125" customWidth="1"/>
    <col min="8" max="9" width="20.7109375" customWidth="1"/>
  </cols>
  <sheetData>
    <row r="1" spans="3:9" ht="15.75" customHeight="1" x14ac:dyDescent="0.2">
      <c r="C1" s="26" t="s">
        <v>78</v>
      </c>
    </row>
    <row r="3" spans="3:9" x14ac:dyDescent="0.2">
      <c r="C3" s="27" t="s">
        <v>125</v>
      </c>
    </row>
    <row r="4" spans="3:9" ht="12.75" x14ac:dyDescent="0.2">
      <c r="C4" s="40" t="s">
        <v>184</v>
      </c>
      <c r="D4" s="34"/>
      <c r="E4" s="34"/>
      <c r="F4" s="34"/>
    </row>
    <row r="6" spans="3:9" ht="13.5" thickBot="1" x14ac:dyDescent="0.25">
      <c r="C6" s="35" t="s">
        <v>84</v>
      </c>
      <c r="D6" s="35"/>
      <c r="E6" s="35"/>
      <c r="F6" s="35"/>
      <c r="H6" s="44" t="s">
        <v>182</v>
      </c>
      <c r="I6" s="44" t="s">
        <v>183</v>
      </c>
    </row>
    <row r="7" spans="3:9" ht="12.75" x14ac:dyDescent="0.2">
      <c r="C7" s="28" t="s">
        <v>137</v>
      </c>
      <c r="D7" s="29" t="s">
        <v>180</v>
      </c>
      <c r="E7" s="29" t="s">
        <v>127</v>
      </c>
      <c r="F7" s="28" t="s">
        <v>128</v>
      </c>
      <c r="H7" s="45">
        <f>SUM(E8:E18,E20:E28,E30:E34,E36:E42,E44:E48,E50:E53,E55:E60,E62:E68,E70:E75)</f>
        <v>0</v>
      </c>
      <c r="I7" s="45">
        <f>SUM(F8:F18,F20:F28,F30:F34,F36:F42,F44:F48,F50:F53,F55:F60,F62:F68,F70:F75)</f>
        <v>0</v>
      </c>
    </row>
    <row r="8" spans="3:9" x14ac:dyDescent="0.2">
      <c r="C8" s="38"/>
      <c r="D8" s="36"/>
      <c r="E8" s="41"/>
      <c r="F8" s="41">
        <v>0</v>
      </c>
    </row>
    <row r="9" spans="3:9" x14ac:dyDescent="0.2">
      <c r="C9" s="38"/>
      <c r="D9" s="36"/>
      <c r="E9" s="41"/>
      <c r="F9" s="41"/>
    </row>
    <row r="10" spans="3:9" x14ac:dyDescent="0.2">
      <c r="C10" s="38"/>
      <c r="D10" s="36"/>
      <c r="E10" s="42"/>
      <c r="F10" s="41"/>
    </row>
    <row r="11" spans="3:9" x14ac:dyDescent="0.2">
      <c r="C11" s="38"/>
      <c r="D11" s="36"/>
      <c r="E11" s="42"/>
      <c r="F11" s="41"/>
    </row>
    <row r="12" spans="3:9" x14ac:dyDescent="0.2">
      <c r="C12" s="38"/>
      <c r="D12" s="36"/>
      <c r="E12" s="42"/>
      <c r="F12" s="41"/>
    </row>
    <row r="13" spans="3:9" x14ac:dyDescent="0.2">
      <c r="C13" s="38"/>
      <c r="D13" s="36"/>
      <c r="E13" s="42"/>
      <c r="F13" s="41"/>
    </row>
    <row r="14" spans="3:9" x14ac:dyDescent="0.2">
      <c r="C14" s="38"/>
      <c r="D14" s="36"/>
      <c r="E14" s="42"/>
      <c r="F14" s="41"/>
    </row>
    <row r="15" spans="3:9" x14ac:dyDescent="0.2">
      <c r="C15" s="38"/>
      <c r="D15" s="36"/>
      <c r="E15" s="42"/>
      <c r="F15" s="41"/>
    </row>
    <row r="16" spans="3:9" x14ac:dyDescent="0.2">
      <c r="C16" s="38"/>
      <c r="D16" s="36"/>
      <c r="E16" s="42"/>
      <c r="F16" s="41"/>
    </row>
    <row r="17" spans="3:6" x14ac:dyDescent="0.2">
      <c r="C17" s="38"/>
      <c r="D17" s="36"/>
      <c r="E17" s="42"/>
      <c r="F17" s="41"/>
    </row>
    <row r="18" spans="3:6" x14ac:dyDescent="0.2">
      <c r="C18" s="38"/>
      <c r="D18" s="36"/>
      <c r="E18" s="42"/>
      <c r="F18" s="41"/>
    </row>
    <row r="19" spans="3:6" x14ac:dyDescent="0.2">
      <c r="C19" s="28" t="s">
        <v>181</v>
      </c>
      <c r="D19" s="29" t="s">
        <v>126</v>
      </c>
      <c r="E19" s="29" t="s">
        <v>127</v>
      </c>
      <c r="F19" s="28" t="s">
        <v>128</v>
      </c>
    </row>
    <row r="20" spans="3:6" x14ac:dyDescent="0.2">
      <c r="C20" s="38"/>
      <c r="D20" s="36"/>
      <c r="E20" s="42"/>
      <c r="F20" s="41"/>
    </row>
    <row r="21" spans="3:6" x14ac:dyDescent="0.2">
      <c r="C21" s="38"/>
      <c r="D21" s="36"/>
      <c r="E21" s="42"/>
      <c r="F21" s="41"/>
    </row>
    <row r="22" spans="3:6" x14ac:dyDescent="0.2">
      <c r="C22" s="38"/>
      <c r="D22" s="36"/>
      <c r="E22" s="42"/>
      <c r="F22" s="41"/>
    </row>
    <row r="23" spans="3:6" x14ac:dyDescent="0.2">
      <c r="C23" s="38"/>
      <c r="D23" s="36"/>
      <c r="E23" s="41"/>
      <c r="F23" s="41"/>
    </row>
    <row r="24" spans="3:6" x14ac:dyDescent="0.2">
      <c r="C24" s="38"/>
      <c r="D24" s="36"/>
      <c r="E24" s="41"/>
      <c r="F24" s="41"/>
    </row>
    <row r="25" spans="3:6" x14ac:dyDescent="0.2">
      <c r="C25" s="38"/>
      <c r="D25" s="36"/>
      <c r="E25" s="41"/>
      <c r="F25" s="41"/>
    </row>
    <row r="26" spans="3:6" x14ac:dyDescent="0.2">
      <c r="C26" s="38"/>
      <c r="D26" s="36"/>
      <c r="E26" s="41"/>
      <c r="F26" s="41"/>
    </row>
    <row r="27" spans="3:6" x14ac:dyDescent="0.2">
      <c r="C27" s="38"/>
      <c r="D27" s="36"/>
      <c r="E27" s="41"/>
      <c r="F27" s="41"/>
    </row>
    <row r="28" spans="3:6" x14ac:dyDescent="0.2">
      <c r="C28" s="38"/>
      <c r="D28" s="36"/>
      <c r="E28" s="41"/>
      <c r="F28" s="41"/>
    </row>
    <row r="29" spans="3:6" x14ac:dyDescent="0.2">
      <c r="C29" s="28" t="s">
        <v>144</v>
      </c>
      <c r="D29" s="29" t="s">
        <v>126</v>
      </c>
      <c r="E29" s="29" t="s">
        <v>127</v>
      </c>
      <c r="F29" s="28" t="s">
        <v>128</v>
      </c>
    </row>
    <row r="30" spans="3:6" x14ac:dyDescent="0.2">
      <c r="C30" s="38"/>
      <c r="D30" s="36"/>
      <c r="E30" s="41"/>
      <c r="F30" s="41"/>
    </row>
    <row r="31" spans="3:6" x14ac:dyDescent="0.2">
      <c r="C31" s="38"/>
      <c r="D31" s="36"/>
      <c r="E31" s="41"/>
      <c r="F31" s="41"/>
    </row>
    <row r="32" spans="3:6" x14ac:dyDescent="0.2">
      <c r="C32" s="38"/>
      <c r="D32" s="36"/>
      <c r="E32" s="41"/>
      <c r="F32" s="41"/>
    </row>
    <row r="33" spans="3:6" ht="15.75" customHeight="1" x14ac:dyDescent="0.2">
      <c r="C33" s="38"/>
      <c r="D33" s="36"/>
      <c r="E33" s="41"/>
      <c r="F33" s="41"/>
    </row>
    <row r="34" spans="3:6" x14ac:dyDescent="0.2">
      <c r="C34" s="38"/>
      <c r="D34" s="36"/>
      <c r="E34" s="41"/>
      <c r="F34" s="41"/>
    </row>
    <row r="35" spans="3:6" ht="15.75" customHeight="1" x14ac:dyDescent="0.2">
      <c r="C35" s="28" t="s">
        <v>148</v>
      </c>
      <c r="D35" s="29" t="s">
        <v>126</v>
      </c>
      <c r="E35" s="29" t="s">
        <v>127</v>
      </c>
      <c r="F35" s="28" t="s">
        <v>128</v>
      </c>
    </row>
    <row r="36" spans="3:6" ht="15.75" customHeight="1" x14ac:dyDescent="0.2">
      <c r="C36" s="38"/>
      <c r="D36" s="36"/>
      <c r="E36" s="41"/>
      <c r="F36" s="41"/>
    </row>
    <row r="37" spans="3:6" ht="15.75" customHeight="1" x14ac:dyDescent="0.2">
      <c r="C37" s="38"/>
      <c r="D37" s="36"/>
      <c r="E37" s="41"/>
      <c r="F37" s="41"/>
    </row>
    <row r="38" spans="3:6" ht="15.75" customHeight="1" x14ac:dyDescent="0.2">
      <c r="C38" s="38"/>
      <c r="D38" s="36"/>
      <c r="E38" s="41"/>
      <c r="F38" s="41"/>
    </row>
    <row r="39" spans="3:6" ht="15.75" customHeight="1" x14ac:dyDescent="0.2">
      <c r="C39" s="38"/>
      <c r="D39" s="36"/>
      <c r="E39" s="41"/>
      <c r="F39" s="41"/>
    </row>
    <row r="40" spans="3:6" ht="15.75" customHeight="1" x14ac:dyDescent="0.2">
      <c r="C40" s="38"/>
      <c r="D40" s="36"/>
      <c r="E40" s="41"/>
      <c r="F40" s="41"/>
    </row>
    <row r="41" spans="3:6" ht="15.75" customHeight="1" x14ac:dyDescent="0.2">
      <c r="C41" s="38"/>
      <c r="D41" s="36"/>
      <c r="E41" s="41"/>
      <c r="F41" s="41"/>
    </row>
    <row r="42" spans="3:6" ht="15.75" customHeight="1" x14ac:dyDescent="0.2">
      <c r="C42" s="38"/>
      <c r="D42" s="36"/>
      <c r="E42" s="41"/>
      <c r="F42" s="41"/>
    </row>
    <row r="43" spans="3:6" ht="15.75" customHeight="1" x14ac:dyDescent="0.2">
      <c r="C43" s="28" t="s">
        <v>156</v>
      </c>
      <c r="D43" s="29" t="s">
        <v>126</v>
      </c>
      <c r="E43" s="29" t="s">
        <v>127</v>
      </c>
      <c r="F43" s="28" t="s">
        <v>128</v>
      </c>
    </row>
    <row r="44" spans="3:6" ht="15.75" customHeight="1" x14ac:dyDescent="0.2">
      <c r="C44" s="38"/>
      <c r="D44" s="36"/>
      <c r="E44" s="41"/>
      <c r="F44" s="41"/>
    </row>
    <row r="45" spans="3:6" ht="15.75" customHeight="1" x14ac:dyDescent="0.2">
      <c r="C45" s="38"/>
      <c r="D45" s="36"/>
      <c r="E45" s="41"/>
      <c r="F45" s="41"/>
    </row>
    <row r="46" spans="3:6" ht="15.75" customHeight="1" x14ac:dyDescent="0.2">
      <c r="C46" s="38"/>
      <c r="D46" s="36"/>
      <c r="E46" s="41"/>
      <c r="F46" s="41"/>
    </row>
    <row r="47" spans="3:6" ht="15.75" customHeight="1" x14ac:dyDescent="0.2">
      <c r="C47" s="38"/>
      <c r="D47" s="36"/>
      <c r="E47" s="41"/>
      <c r="F47" s="41"/>
    </row>
    <row r="48" spans="3:6" ht="15.75" customHeight="1" x14ac:dyDescent="0.2">
      <c r="C48" s="38"/>
      <c r="D48" s="36"/>
      <c r="E48" s="41"/>
      <c r="F48" s="41"/>
    </row>
    <row r="49" spans="3:6" ht="15.75" customHeight="1" x14ac:dyDescent="0.2">
      <c r="C49" s="28" t="s">
        <v>160</v>
      </c>
      <c r="D49" s="29" t="s">
        <v>126</v>
      </c>
      <c r="E49" s="29" t="s">
        <v>127</v>
      </c>
      <c r="F49" s="28" t="s">
        <v>128</v>
      </c>
    </row>
    <row r="50" spans="3:6" ht="15.75" customHeight="1" x14ac:dyDescent="0.2">
      <c r="C50" s="38"/>
      <c r="D50" s="36"/>
      <c r="E50" s="41"/>
      <c r="F50" s="41"/>
    </row>
    <row r="51" spans="3:6" ht="15.75" customHeight="1" x14ac:dyDescent="0.2">
      <c r="C51" s="38"/>
      <c r="D51" s="36"/>
      <c r="E51" s="41"/>
      <c r="F51" s="41"/>
    </row>
    <row r="52" spans="3:6" ht="15.75" customHeight="1" x14ac:dyDescent="0.2">
      <c r="C52" s="38"/>
      <c r="D52" s="36"/>
      <c r="E52" s="41"/>
      <c r="F52" s="41"/>
    </row>
    <row r="53" spans="3:6" ht="15.75" customHeight="1" x14ac:dyDescent="0.2">
      <c r="C53" s="38"/>
      <c r="D53" s="36"/>
      <c r="E53" s="41"/>
      <c r="F53" s="41"/>
    </row>
    <row r="54" spans="3:6" ht="15.75" customHeight="1" x14ac:dyDescent="0.2">
      <c r="C54" s="28" t="s">
        <v>164</v>
      </c>
      <c r="D54" s="29" t="s">
        <v>126</v>
      </c>
      <c r="E54" s="29" t="s">
        <v>127</v>
      </c>
      <c r="F54" s="28" t="s">
        <v>128</v>
      </c>
    </row>
    <row r="55" spans="3:6" ht="15.75" customHeight="1" x14ac:dyDescent="0.2">
      <c r="C55" s="38"/>
      <c r="D55" s="36"/>
      <c r="E55" s="41"/>
      <c r="F55" s="41"/>
    </row>
    <row r="56" spans="3:6" ht="15.75" customHeight="1" x14ac:dyDescent="0.2">
      <c r="C56" s="38"/>
      <c r="D56" s="36"/>
      <c r="E56" s="41"/>
      <c r="F56" s="41"/>
    </row>
    <row r="57" spans="3:6" ht="15.75" customHeight="1" x14ac:dyDescent="0.2">
      <c r="C57" s="38"/>
      <c r="D57" s="36"/>
      <c r="E57" s="41"/>
      <c r="F57" s="41"/>
    </row>
    <row r="58" spans="3:6" ht="15.75" customHeight="1" x14ac:dyDescent="0.2">
      <c r="C58" s="38"/>
      <c r="D58" s="36"/>
      <c r="E58" s="41"/>
      <c r="F58" s="41"/>
    </row>
    <row r="59" spans="3:6" ht="15.75" customHeight="1" x14ac:dyDescent="0.2">
      <c r="C59" s="38"/>
      <c r="D59" s="36"/>
      <c r="E59" s="41"/>
      <c r="F59" s="41"/>
    </row>
    <row r="60" spans="3:6" ht="15.75" customHeight="1" x14ac:dyDescent="0.2">
      <c r="C60" s="38"/>
      <c r="D60" s="36"/>
      <c r="E60" s="41"/>
      <c r="F60" s="41"/>
    </row>
    <row r="61" spans="3:6" ht="15.75" customHeight="1" x14ac:dyDescent="0.2">
      <c r="C61" s="28" t="s">
        <v>169</v>
      </c>
      <c r="D61" s="29" t="s">
        <v>126</v>
      </c>
      <c r="E61" s="29" t="s">
        <v>127</v>
      </c>
      <c r="F61" s="28" t="s">
        <v>128</v>
      </c>
    </row>
    <row r="62" spans="3:6" ht="15.75" customHeight="1" x14ac:dyDescent="0.2">
      <c r="C62" s="38"/>
      <c r="D62" s="36"/>
      <c r="E62" s="41"/>
      <c r="F62" s="41"/>
    </row>
    <row r="63" spans="3:6" ht="15.75" customHeight="1" x14ac:dyDescent="0.2">
      <c r="C63" s="38"/>
      <c r="D63" s="36"/>
      <c r="E63" s="41"/>
      <c r="F63" s="41"/>
    </row>
    <row r="64" spans="3:6" ht="15.75" customHeight="1" x14ac:dyDescent="0.2">
      <c r="C64" s="38"/>
      <c r="D64" s="36"/>
      <c r="E64" s="41"/>
      <c r="F64" s="41"/>
    </row>
    <row r="65" spans="3:6" ht="15.75" customHeight="1" x14ac:dyDescent="0.2">
      <c r="C65" s="38"/>
      <c r="D65" s="36"/>
      <c r="E65" s="41"/>
      <c r="F65" s="41"/>
    </row>
    <row r="66" spans="3:6" ht="15.75" customHeight="1" x14ac:dyDescent="0.2">
      <c r="C66" s="38"/>
      <c r="D66" s="36"/>
      <c r="E66" s="41"/>
      <c r="F66" s="41"/>
    </row>
    <row r="67" spans="3:6" ht="15.75" customHeight="1" x14ac:dyDescent="0.2">
      <c r="C67" s="38"/>
      <c r="D67" s="36"/>
      <c r="E67" s="41"/>
      <c r="F67" s="41"/>
    </row>
    <row r="68" spans="3:6" ht="15.75" customHeight="1" x14ac:dyDescent="0.2">
      <c r="C68" s="38"/>
      <c r="D68" s="36"/>
      <c r="E68" s="41"/>
      <c r="F68" s="41"/>
    </row>
    <row r="69" spans="3:6" ht="15.75" customHeight="1" x14ac:dyDescent="0.2">
      <c r="C69" s="28" t="s">
        <v>174</v>
      </c>
      <c r="D69" s="29" t="s">
        <v>126</v>
      </c>
      <c r="E69" s="29" t="s">
        <v>127</v>
      </c>
      <c r="F69" s="28" t="s">
        <v>128</v>
      </c>
    </row>
    <row r="70" spans="3:6" ht="15.75" customHeight="1" x14ac:dyDescent="0.2">
      <c r="C70" s="38"/>
      <c r="D70" s="36"/>
      <c r="E70" s="41"/>
      <c r="F70" s="41"/>
    </row>
    <row r="71" spans="3:6" ht="15.75" customHeight="1" x14ac:dyDescent="0.2">
      <c r="C71" s="38"/>
      <c r="D71" s="36"/>
      <c r="E71" s="41"/>
      <c r="F71" s="41"/>
    </row>
    <row r="72" spans="3:6" ht="15.75" customHeight="1" x14ac:dyDescent="0.2">
      <c r="C72" s="38"/>
      <c r="D72" s="36"/>
      <c r="E72" s="41">
        <v>0</v>
      </c>
      <c r="F72" s="41"/>
    </row>
    <row r="73" spans="3:6" ht="15.75" customHeight="1" x14ac:dyDescent="0.2">
      <c r="C73" s="38"/>
      <c r="D73" s="36"/>
      <c r="E73" s="41"/>
      <c r="F73" s="41"/>
    </row>
    <row r="74" spans="3:6" ht="15.75" customHeight="1" x14ac:dyDescent="0.2">
      <c r="C74" s="38"/>
      <c r="D74" s="36"/>
      <c r="E74" s="41"/>
      <c r="F74" s="41"/>
    </row>
    <row r="75" spans="3:6" ht="15.75" customHeight="1" x14ac:dyDescent="0.2">
      <c r="C75" s="38"/>
      <c r="D75" s="36"/>
      <c r="E75" s="41"/>
      <c r="F75" s="41"/>
    </row>
  </sheetData>
  <mergeCells count="2">
    <mergeCell ref="C4:F4"/>
    <mergeCell ref="C6:F6"/>
  </mergeCells>
  <dataValidations count="1">
    <dataValidation type="list" allowBlank="1" showInputMessage="1" showErrorMessage="1" sqref="E8:E18 E30:E34 E20:E28 E36:E42 E44:E47" xr:uid="{B2265D1C-2258-4813-8275-F26F0A83B762}">
      <formula1>"HOLHERITE,CNPJ,FREELANCE"</formula1>
    </dataValidation>
  </dataValidations>
  <hyperlinks>
    <hyperlink ref="C1" location="NOTAS!A1" display="ANTERIOR ⬅️" xr:uid="{0108452B-622A-4BB5-94D5-65729031DB2B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Title="Item não corresponde" error="Selecione um item da lista" promptTitle="Selecione o Código" prompt="Selecione o Código correspondente" xr:uid="{550216CB-4150-4FCE-996E-BB364E5A57F5}">
          <x14:formula1>
            <xm:f>TABELAS!$E$3:$E$9</xm:f>
          </x14:formula1>
          <xm:sqref>C8:C18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B91762DC-6E82-45D9-A55D-3D8089E32344}">
          <x14:formula1>
            <xm:f>TABELAS!$E$12:$E$15</xm:f>
          </x14:formula1>
          <xm:sqref>C20:C28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EF9ACF4D-CE15-4502-847F-068A1F672122}">
          <x14:formula1>
            <xm:f>TABELAS!$E$18:$E$20</xm:f>
          </x14:formula1>
          <xm:sqref>C30:C34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FEF8F248-AC8A-4158-AD8B-6E0F7B1C8D25}">
          <x14:formula1>
            <xm:f>TABELAS!$E$23:$E$29</xm:f>
          </x14:formula1>
          <xm:sqref>C36:C42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E0B9C168-A410-478F-95E5-8471EBD43B15}">
          <x14:formula1>
            <xm:f>TABELAS!$E$32:$E$34</xm:f>
          </x14:formula1>
          <xm:sqref>C44:C48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99C7DA76-29C6-4832-ACC4-E4BB5D1E0E16}">
          <x14:formula1>
            <xm:f>TABELAS!$E$37:$E$39</xm:f>
          </x14:formula1>
          <xm:sqref>C50:C53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D1E954E4-068E-4AF7-BB47-0B275C12C020}">
          <x14:formula1>
            <xm:f>TABELAS!$E$42:$E$45</xm:f>
          </x14:formula1>
          <xm:sqref>C55:C60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598A37CD-26B5-488D-98E7-ECD31A8008BC}">
          <x14:formula1>
            <xm:f>TABELAS!$E$48:$E$51</xm:f>
          </x14:formula1>
          <xm:sqref>C62:C68</xm:sqref>
        </x14:dataValidation>
        <x14:dataValidation type="list" allowBlank="1" showInputMessage="1" showErrorMessage="1" errorTitle="Item não corresponde" error="Selecione um item da lista" promptTitle="Selecione o Código" prompt="Selecione o Código correspondente" xr:uid="{A32B6F5A-A2CF-4F1B-A1BA-759F0509FCA9}">
          <x14:formula1>
            <xm:f>TABELAS!$E$54:$E$58</xm:f>
          </x14:formula1>
          <xm:sqref>C70:C75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BCAF-3F1C-4962-B8E7-F7B02808735E}">
  <dimension ref="A1:E58"/>
  <sheetViews>
    <sheetView topLeftCell="A19" workbookViewId="0">
      <selection activeCell="E53" sqref="E53"/>
    </sheetView>
  </sheetViews>
  <sheetFormatPr defaultRowHeight="12.75" x14ac:dyDescent="0.2"/>
  <cols>
    <col min="1" max="1" width="62.7109375" customWidth="1"/>
    <col min="3" max="3" width="79.5703125" bestFit="1" customWidth="1"/>
    <col min="5" max="5" width="49.42578125" customWidth="1"/>
  </cols>
  <sheetData>
    <row r="1" spans="1:5" x14ac:dyDescent="0.2">
      <c r="A1" s="19" t="s">
        <v>39</v>
      </c>
      <c r="C1" s="19" t="s">
        <v>90</v>
      </c>
      <c r="E1" s="19" t="s">
        <v>129</v>
      </c>
    </row>
    <row r="2" spans="1:5" x14ac:dyDescent="0.2">
      <c r="A2" s="18" t="s">
        <v>24</v>
      </c>
      <c r="C2" s="18" t="s">
        <v>94</v>
      </c>
      <c r="E2" s="43" t="s">
        <v>143</v>
      </c>
    </row>
    <row r="3" spans="1:5" x14ac:dyDescent="0.2">
      <c r="A3" s="18" t="s">
        <v>40</v>
      </c>
      <c r="C3" s="18" t="s">
        <v>95</v>
      </c>
      <c r="E3" s="18" t="s">
        <v>130</v>
      </c>
    </row>
    <row r="4" spans="1:5" x14ac:dyDescent="0.2">
      <c r="A4" s="18" t="s">
        <v>41</v>
      </c>
      <c r="C4" s="18" t="s">
        <v>96</v>
      </c>
      <c r="E4" s="18" t="s">
        <v>131</v>
      </c>
    </row>
    <row r="5" spans="1:5" x14ac:dyDescent="0.2">
      <c r="A5" s="18" t="s">
        <v>42</v>
      </c>
      <c r="C5" s="18" t="s">
        <v>91</v>
      </c>
      <c r="E5" s="18" t="s">
        <v>132</v>
      </c>
    </row>
    <row r="6" spans="1:5" x14ac:dyDescent="0.2">
      <c r="A6" s="18" t="s">
        <v>43</v>
      </c>
      <c r="C6" s="18" t="s">
        <v>92</v>
      </c>
      <c r="E6" s="18" t="s">
        <v>133</v>
      </c>
    </row>
    <row r="7" spans="1:5" x14ac:dyDescent="0.2">
      <c r="A7" s="18" t="s">
        <v>44</v>
      </c>
      <c r="C7" s="18" t="s">
        <v>93</v>
      </c>
      <c r="E7" s="18" t="s">
        <v>134</v>
      </c>
    </row>
    <row r="8" spans="1:5" x14ac:dyDescent="0.2">
      <c r="A8" s="18" t="s">
        <v>25</v>
      </c>
      <c r="C8" s="18" t="s">
        <v>97</v>
      </c>
      <c r="E8" s="18" t="s">
        <v>135</v>
      </c>
    </row>
    <row r="9" spans="1:5" x14ac:dyDescent="0.2">
      <c r="A9" s="18" t="s">
        <v>45</v>
      </c>
      <c r="C9" s="18" t="s">
        <v>98</v>
      </c>
      <c r="E9" s="18" t="s">
        <v>136</v>
      </c>
    </row>
    <row r="10" spans="1:5" x14ac:dyDescent="0.2">
      <c r="A10" s="18" t="s">
        <v>46</v>
      </c>
      <c r="C10" s="18" t="s">
        <v>99</v>
      </c>
    </row>
    <row r="11" spans="1:5" x14ac:dyDescent="0.2">
      <c r="A11" s="18" t="s">
        <v>38</v>
      </c>
      <c r="C11" s="18" t="s">
        <v>100</v>
      </c>
      <c r="E11" s="43" t="s">
        <v>138</v>
      </c>
    </row>
    <row r="12" spans="1:5" x14ac:dyDescent="0.2">
      <c r="A12" s="18" t="s">
        <v>26</v>
      </c>
      <c r="C12" s="18" t="s">
        <v>101</v>
      </c>
      <c r="E12" s="18" t="s">
        <v>139</v>
      </c>
    </row>
    <row r="13" spans="1:5" x14ac:dyDescent="0.2">
      <c r="A13" s="18" t="s">
        <v>47</v>
      </c>
      <c r="C13" s="18" t="s">
        <v>102</v>
      </c>
      <c r="E13" s="18" t="s">
        <v>140</v>
      </c>
    </row>
    <row r="14" spans="1:5" x14ac:dyDescent="0.2">
      <c r="A14" s="18" t="s">
        <v>27</v>
      </c>
      <c r="C14" s="18" t="s">
        <v>103</v>
      </c>
      <c r="E14" s="18" t="s">
        <v>141</v>
      </c>
    </row>
    <row r="15" spans="1:5" x14ac:dyDescent="0.2">
      <c r="A15" s="18" t="s">
        <v>48</v>
      </c>
      <c r="C15" s="18" t="s">
        <v>104</v>
      </c>
      <c r="E15" s="18" t="s">
        <v>142</v>
      </c>
    </row>
    <row r="16" spans="1:5" x14ac:dyDescent="0.2">
      <c r="A16" s="18" t="s">
        <v>49</v>
      </c>
      <c r="C16" s="18" t="s">
        <v>105</v>
      </c>
    </row>
    <row r="17" spans="1:5" x14ac:dyDescent="0.2">
      <c r="A17" s="18" t="s">
        <v>50</v>
      </c>
      <c r="C17" s="18" t="s">
        <v>106</v>
      </c>
      <c r="E17" s="43" t="s">
        <v>144</v>
      </c>
    </row>
    <row r="18" spans="1:5" x14ac:dyDescent="0.2">
      <c r="A18" s="18" t="s">
        <v>28</v>
      </c>
      <c r="C18" s="18" t="s">
        <v>107</v>
      </c>
      <c r="E18" s="18" t="s">
        <v>145</v>
      </c>
    </row>
    <row r="19" spans="1:5" x14ac:dyDescent="0.2">
      <c r="A19" s="18" t="s">
        <v>51</v>
      </c>
      <c r="C19" s="18" t="s">
        <v>108</v>
      </c>
      <c r="E19" s="18" t="s">
        <v>146</v>
      </c>
    </row>
    <row r="20" spans="1:5" x14ac:dyDescent="0.2">
      <c r="A20" s="18" t="s">
        <v>52</v>
      </c>
      <c r="C20" s="18" t="s">
        <v>109</v>
      </c>
      <c r="E20" s="18" t="s">
        <v>147</v>
      </c>
    </row>
    <row r="21" spans="1:5" x14ac:dyDescent="0.2">
      <c r="A21" s="18" t="s">
        <v>29</v>
      </c>
      <c r="C21" s="18" t="s">
        <v>110</v>
      </c>
    </row>
    <row r="22" spans="1:5" x14ac:dyDescent="0.2">
      <c r="A22" s="18" t="s">
        <v>30</v>
      </c>
      <c r="C22" s="18" t="s">
        <v>111</v>
      </c>
      <c r="E22" s="43" t="s">
        <v>148</v>
      </c>
    </row>
    <row r="23" spans="1:5" x14ac:dyDescent="0.2">
      <c r="A23" s="18" t="s">
        <v>31</v>
      </c>
      <c r="C23" s="18" t="s">
        <v>112</v>
      </c>
      <c r="E23" s="18" t="s">
        <v>149</v>
      </c>
    </row>
    <row r="24" spans="1:5" x14ac:dyDescent="0.2">
      <c r="A24" s="18" t="s">
        <v>53</v>
      </c>
      <c r="C24" s="18" t="s">
        <v>113</v>
      </c>
      <c r="E24" s="18" t="s">
        <v>150</v>
      </c>
    </row>
    <row r="25" spans="1:5" x14ac:dyDescent="0.2">
      <c r="A25" s="18" t="s">
        <v>54</v>
      </c>
      <c r="C25" s="18" t="s">
        <v>114</v>
      </c>
      <c r="E25" s="18" t="s">
        <v>151</v>
      </c>
    </row>
    <row r="26" spans="1:5" x14ac:dyDescent="0.2">
      <c r="A26" s="18" t="s">
        <v>32</v>
      </c>
      <c r="C26" s="18" t="s">
        <v>115</v>
      </c>
      <c r="E26" s="18" t="s">
        <v>152</v>
      </c>
    </row>
    <row r="27" spans="1:5" x14ac:dyDescent="0.2">
      <c r="A27" s="18" t="s">
        <v>55</v>
      </c>
      <c r="C27" s="18" t="s">
        <v>116</v>
      </c>
      <c r="E27" s="18" t="s">
        <v>153</v>
      </c>
    </row>
    <row r="28" spans="1:5" x14ac:dyDescent="0.2">
      <c r="A28" s="18" t="s">
        <v>33</v>
      </c>
      <c r="C28" s="18" t="s">
        <v>117</v>
      </c>
      <c r="E28" s="18" t="s">
        <v>154</v>
      </c>
    </row>
    <row r="29" spans="1:5" x14ac:dyDescent="0.2">
      <c r="A29" s="18" t="s">
        <v>34</v>
      </c>
      <c r="C29" s="18" t="s">
        <v>118</v>
      </c>
      <c r="E29" s="18" t="s">
        <v>155</v>
      </c>
    </row>
    <row r="30" spans="1:5" x14ac:dyDescent="0.2">
      <c r="A30" s="18" t="s">
        <v>56</v>
      </c>
      <c r="C30" s="18" t="s">
        <v>119</v>
      </c>
    </row>
    <row r="31" spans="1:5" x14ac:dyDescent="0.2">
      <c r="A31" s="18" t="s">
        <v>57</v>
      </c>
      <c r="C31" s="18" t="s">
        <v>120</v>
      </c>
      <c r="E31" s="43" t="s">
        <v>156</v>
      </c>
    </row>
    <row r="32" spans="1:5" x14ac:dyDescent="0.2">
      <c r="A32" s="18" t="s">
        <v>35</v>
      </c>
      <c r="C32" s="18" t="s">
        <v>121</v>
      </c>
      <c r="E32" s="18" t="s">
        <v>157</v>
      </c>
    </row>
    <row r="33" spans="1:5" x14ac:dyDescent="0.2">
      <c r="A33" s="18" t="s">
        <v>58</v>
      </c>
      <c r="C33" s="18" t="s">
        <v>122</v>
      </c>
      <c r="E33" s="18" t="s">
        <v>158</v>
      </c>
    </row>
    <row r="34" spans="1:5" x14ac:dyDescent="0.2">
      <c r="A34" s="18" t="s">
        <v>36</v>
      </c>
      <c r="C34" s="18" t="s">
        <v>123</v>
      </c>
      <c r="E34" s="18" t="s">
        <v>159</v>
      </c>
    </row>
    <row r="35" spans="1:5" x14ac:dyDescent="0.2">
      <c r="A35" s="18" t="s">
        <v>59</v>
      </c>
    </row>
    <row r="36" spans="1:5" x14ac:dyDescent="0.2">
      <c r="A36" s="18" t="s">
        <v>60</v>
      </c>
      <c r="E36" s="43" t="s">
        <v>160</v>
      </c>
    </row>
    <row r="37" spans="1:5" x14ac:dyDescent="0.2">
      <c r="A37" s="18" t="s">
        <v>61</v>
      </c>
      <c r="E37" s="18" t="s">
        <v>161</v>
      </c>
    </row>
    <row r="38" spans="1:5" x14ac:dyDescent="0.2">
      <c r="A38" s="18" t="s">
        <v>62</v>
      </c>
      <c r="E38" s="18" t="s">
        <v>162</v>
      </c>
    </row>
    <row r="39" spans="1:5" x14ac:dyDescent="0.2">
      <c r="A39" s="18" t="s">
        <v>37</v>
      </c>
      <c r="E39" s="18" t="s">
        <v>163</v>
      </c>
    </row>
    <row r="40" spans="1:5" x14ac:dyDescent="0.2">
      <c r="A40" s="18" t="s">
        <v>63</v>
      </c>
    </row>
    <row r="41" spans="1:5" x14ac:dyDescent="0.2">
      <c r="A41" s="18" t="s">
        <v>64</v>
      </c>
      <c r="E41" s="43" t="s">
        <v>164</v>
      </c>
    </row>
    <row r="42" spans="1:5" x14ac:dyDescent="0.2">
      <c r="A42" s="18" t="s">
        <v>65</v>
      </c>
      <c r="E42" s="18" t="s">
        <v>165</v>
      </c>
    </row>
    <row r="43" spans="1:5" x14ac:dyDescent="0.2">
      <c r="A43" s="18" t="s">
        <v>66</v>
      </c>
      <c r="E43" s="18" t="s">
        <v>166</v>
      </c>
    </row>
    <row r="44" spans="1:5" x14ac:dyDescent="0.2">
      <c r="A44" s="18" t="s">
        <v>67</v>
      </c>
      <c r="E44" s="18" t="s">
        <v>167</v>
      </c>
    </row>
    <row r="45" spans="1:5" x14ac:dyDescent="0.2">
      <c r="A45" s="18" t="s">
        <v>68</v>
      </c>
      <c r="E45" s="18" t="s">
        <v>168</v>
      </c>
    </row>
    <row r="46" spans="1:5" x14ac:dyDescent="0.2">
      <c r="A46" s="18" t="s">
        <v>69</v>
      </c>
    </row>
    <row r="47" spans="1:5" x14ac:dyDescent="0.2">
      <c r="A47" s="18" t="s">
        <v>70</v>
      </c>
      <c r="E47" s="43" t="s">
        <v>169</v>
      </c>
    </row>
    <row r="48" spans="1:5" x14ac:dyDescent="0.2">
      <c r="A48" s="18" t="s">
        <v>71</v>
      </c>
      <c r="E48" s="18" t="s">
        <v>170</v>
      </c>
    </row>
    <row r="49" spans="1:5" x14ac:dyDescent="0.2">
      <c r="A49" s="18" t="s">
        <v>72</v>
      </c>
      <c r="E49" s="18" t="s">
        <v>171</v>
      </c>
    </row>
    <row r="50" spans="1:5" x14ac:dyDescent="0.2">
      <c r="E50" s="18" t="s">
        <v>172</v>
      </c>
    </row>
    <row r="51" spans="1:5" x14ac:dyDescent="0.2">
      <c r="E51" s="18" t="s">
        <v>173</v>
      </c>
    </row>
    <row r="53" spans="1:5" x14ac:dyDescent="0.2">
      <c r="E53" s="43" t="s">
        <v>174</v>
      </c>
    </row>
    <row r="54" spans="1:5" x14ac:dyDescent="0.2">
      <c r="E54" s="18" t="s">
        <v>175</v>
      </c>
    </row>
    <row r="55" spans="1:5" x14ac:dyDescent="0.2">
      <c r="E55" s="18" t="s">
        <v>176</v>
      </c>
    </row>
    <row r="56" spans="1:5" x14ac:dyDescent="0.2">
      <c r="E56" s="18" t="s">
        <v>177</v>
      </c>
    </row>
    <row r="57" spans="1:5" x14ac:dyDescent="0.2">
      <c r="E57" s="18" t="s">
        <v>178</v>
      </c>
    </row>
    <row r="58" spans="1:5" x14ac:dyDescent="0.2">
      <c r="E58" s="18" t="s">
        <v>179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BENS E DIREITOS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Colegio Pequeno Principe</cp:lastModifiedBy>
  <dcterms:modified xsi:type="dcterms:W3CDTF">2026-01-29T13:50:19Z</dcterms:modified>
</cp:coreProperties>
</file>